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35" windowWidth="27795" windowHeight="13110"/>
  </bookViews>
  <sheets>
    <sheet name="About" sheetId="7" r:id="rId1"/>
    <sheet name="Salesman" sheetId="6" r:id="rId2"/>
    <sheet name="products" sheetId="5" r:id="rId3"/>
    <sheet name="Dashboard" sheetId="1" r:id="rId4"/>
    <sheet name="Data" sheetId="2" r:id="rId5"/>
    <sheet name="Sheet1" sheetId="8" r:id="rId6"/>
    <sheet name="Pivot Table" sheetId="4" r:id="rId7"/>
  </sheets>
  <definedNames>
    <definedName name="Slicer_Item">#N/A</definedName>
    <definedName name="Slicer_Region">#N/A</definedName>
  </definedNames>
  <calcPr calcId="144525"/>
  <pivotCaches>
    <pivotCache cacheId="0"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02" i="2" l="1"/>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N29" i="4"/>
  <c r="O26" i="4"/>
  <c r="N24" i="4"/>
</calcChain>
</file>

<file path=xl/sharedStrings.xml><?xml version="1.0" encoding="utf-8"?>
<sst xmlns="http://schemas.openxmlformats.org/spreadsheetml/2006/main" count="693" uniqueCount="42">
  <si>
    <t>Madalasha Enterprises</t>
  </si>
  <si>
    <t>S.No.</t>
  </si>
  <si>
    <t>Date</t>
  </si>
  <si>
    <t>Salesman</t>
  </si>
  <si>
    <t>Region</t>
  </si>
  <si>
    <t>Item</t>
  </si>
  <si>
    <t>Quantity</t>
  </si>
  <si>
    <t>Price</t>
  </si>
  <si>
    <t>Amount</t>
  </si>
  <si>
    <t>Ajit Kumar</t>
  </si>
  <si>
    <t>Rohit Das</t>
  </si>
  <si>
    <t>Ramesh</t>
  </si>
  <si>
    <t>Amit</t>
  </si>
  <si>
    <t>Chandu</t>
  </si>
  <si>
    <t>Sidhu</t>
  </si>
  <si>
    <t>East</t>
  </si>
  <si>
    <t>West</t>
  </si>
  <si>
    <t>South</t>
  </si>
  <si>
    <t>North</t>
  </si>
  <si>
    <t>Mouse</t>
  </si>
  <si>
    <t>Scanner</t>
  </si>
  <si>
    <t>Moniter</t>
  </si>
  <si>
    <t>Keyboard</t>
  </si>
  <si>
    <t>Printer</t>
  </si>
  <si>
    <t>Joystick</t>
  </si>
  <si>
    <t>Row Labels</t>
  </si>
  <si>
    <t>Grand Total</t>
  </si>
  <si>
    <t>Sum of Amount</t>
  </si>
  <si>
    <t>Group1</t>
  </si>
  <si>
    <t>Group2</t>
  </si>
  <si>
    <t>Group3</t>
  </si>
  <si>
    <t>Group4</t>
  </si>
  <si>
    <t>Group5</t>
  </si>
  <si>
    <t>Group6</t>
  </si>
  <si>
    <t>Group7</t>
  </si>
  <si>
    <t>Group8</t>
  </si>
  <si>
    <t>Group9</t>
  </si>
  <si>
    <t>Group10</t>
  </si>
  <si>
    <t>Group11</t>
  </si>
  <si>
    <t>Group12</t>
  </si>
  <si>
    <t>Sum of Quantity</t>
  </si>
  <si>
    <t>Count of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</si>
</sst>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20"/>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xf>
    <xf numFmtId="14" fontId="0" fillId="0" borderId="0" xfId="0" applyNumberFormat="1"/>
    <xf numFmtId="0" fontId="0" fillId="0" borderId="0" xfId="0" pivotButton="1"/>
    <xf numFmtId="0" fontId="0" fillId="0" borderId="0" xfId="0" applyNumberFormat="1"/>
    <xf numFmtId="0" fontId="0" fillId="0" borderId="0" xfId="0" applyAlignment="1">
      <alignment horizontal="left"/>
    </xf>
    <xf numFmtId="4" fontId="0" fillId="0" borderId="0" xfId="0" applyNumberFormat="1"/>
    <xf numFmtId="0" fontId="1" fillId="0" borderId="0" xfId="0" applyFont="1" applyAlignment="1">
      <alignment horizontal="center"/>
    </xf>
  </cellXfs>
  <cellStyles count="1">
    <cellStyle name="Normal" xfId="0" builtinId="0"/>
  </cellStyles>
  <dxfs count="1">
    <dxf>
      <numFmt numFmtId="19" formatCode="dd/mm/yyyy"/>
    </dxf>
  </dxfs>
  <tableStyles count="0" defaultTableStyle="TableStyleMedium2" defaultPivotStyle="PivotStyleLight16"/>
  <colors>
    <mruColors>
      <color rgb="FFF9AC1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Table!PivotTable11</c:name>
    <c:fmtId val="24"/>
  </c:pivotSource>
  <c:chart>
    <c:autoTitleDeleted val="1"/>
    <c:pivotFmts>
      <c:pivotFmt>
        <c:idx val="0"/>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0.41291810841983834"/>
              <c:y val="-4.6538676755177094E-3"/>
            </c:manualLayout>
          </c:layout>
          <c:showLegendKey val="0"/>
          <c:showVal val="1"/>
          <c:showCatName val="0"/>
          <c:showSerName val="0"/>
          <c:showPercent val="0"/>
          <c:showBubbleSize val="0"/>
        </c:dLbl>
      </c:pivotFmt>
      <c:pivotFmt>
        <c:idx val="2"/>
        <c:dLbl>
          <c:idx val="0"/>
          <c:layout>
            <c:manualLayout>
              <c:x val="0.35986159169550175"/>
              <c:y val="0"/>
            </c:manualLayout>
          </c:layout>
          <c:showLegendKey val="0"/>
          <c:showVal val="1"/>
          <c:showCatName val="0"/>
          <c:showSerName val="0"/>
          <c:showPercent val="0"/>
          <c:showBubbleSize val="0"/>
        </c:dLbl>
      </c:pivotFmt>
      <c:pivotFmt>
        <c:idx val="3"/>
        <c:dLbl>
          <c:idx val="0"/>
          <c:layout>
            <c:manualLayout>
              <c:x val="0.31141868512110726"/>
              <c:y val="-4.6538676755176877E-3"/>
            </c:manualLayout>
          </c:layout>
          <c:showLegendKey val="0"/>
          <c:showVal val="1"/>
          <c:showCatName val="0"/>
          <c:showSerName val="0"/>
          <c:showPercent val="0"/>
          <c:showBubbleSize val="0"/>
        </c:dLbl>
      </c:pivotFmt>
      <c:pivotFmt>
        <c:idx val="4"/>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5"/>
        <c:dLbl>
          <c:idx val="0"/>
          <c:layout>
            <c:manualLayout>
              <c:x val="0.31141868512110726"/>
              <c:y val="-4.6538676755176877E-3"/>
            </c:manualLayout>
          </c:layout>
          <c:showLegendKey val="0"/>
          <c:showVal val="1"/>
          <c:showCatName val="0"/>
          <c:showSerName val="0"/>
          <c:showPercent val="0"/>
          <c:showBubbleSize val="0"/>
        </c:dLbl>
      </c:pivotFmt>
      <c:pivotFmt>
        <c:idx val="6"/>
        <c:dLbl>
          <c:idx val="0"/>
          <c:layout>
            <c:manualLayout>
              <c:x val="0.35986159169550175"/>
              <c:y val="0"/>
            </c:manualLayout>
          </c:layout>
          <c:showLegendKey val="0"/>
          <c:showVal val="1"/>
          <c:showCatName val="0"/>
          <c:showSerName val="0"/>
          <c:showPercent val="0"/>
          <c:showBubbleSize val="0"/>
        </c:dLbl>
      </c:pivotFmt>
      <c:pivotFmt>
        <c:idx val="7"/>
        <c:dLbl>
          <c:idx val="0"/>
          <c:layout>
            <c:manualLayout>
              <c:x val="0.41291810841983834"/>
              <c:y val="-4.6538676755177094E-3"/>
            </c:manualLayout>
          </c:layout>
          <c:showLegendKey val="0"/>
          <c:showVal val="1"/>
          <c:showCatName val="0"/>
          <c:showSerName val="0"/>
          <c:showPercent val="0"/>
          <c:showBubbleSize val="0"/>
        </c:dLbl>
      </c:pivotFmt>
      <c:pivotFmt>
        <c:idx val="8"/>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9"/>
        <c:dLbl>
          <c:idx val="0"/>
          <c:layout>
            <c:manualLayout>
              <c:x val="0.31141868512110726"/>
              <c:y val="-4.6538676755176877E-3"/>
            </c:manualLayout>
          </c:layout>
          <c:showLegendKey val="0"/>
          <c:showVal val="1"/>
          <c:showCatName val="0"/>
          <c:showSerName val="0"/>
          <c:showPercent val="0"/>
          <c:showBubbleSize val="0"/>
        </c:dLbl>
      </c:pivotFmt>
      <c:pivotFmt>
        <c:idx val="10"/>
        <c:dLbl>
          <c:idx val="0"/>
          <c:layout>
            <c:manualLayout>
              <c:x val="0.35986159169550175"/>
              <c:y val="0"/>
            </c:manualLayout>
          </c:layout>
          <c:showLegendKey val="0"/>
          <c:showVal val="1"/>
          <c:showCatName val="0"/>
          <c:showSerName val="0"/>
          <c:showPercent val="0"/>
          <c:showBubbleSize val="0"/>
        </c:dLbl>
      </c:pivotFmt>
      <c:pivotFmt>
        <c:idx val="11"/>
        <c:dLbl>
          <c:idx val="0"/>
          <c:layout>
            <c:manualLayout>
              <c:x val="0.41291810841983834"/>
              <c:y val="-4.6538676755177094E-3"/>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'Pivot Table'!$B$62</c:f>
              <c:strCache>
                <c:ptCount val="1"/>
                <c:pt idx="0">
                  <c:v>Total</c:v>
                </c:pt>
              </c:strCache>
            </c:strRef>
          </c:tx>
          <c:invertIfNegative val="0"/>
          <c:dLbls>
            <c:dLbl>
              <c:idx val="0"/>
              <c:layout>
                <c:manualLayout>
                  <c:x val="0.31141868512110726"/>
                  <c:y val="-4.6538676755176877E-3"/>
                </c:manualLayout>
              </c:layout>
              <c:showLegendKey val="0"/>
              <c:showVal val="1"/>
              <c:showCatName val="0"/>
              <c:showSerName val="0"/>
              <c:showPercent val="0"/>
              <c:showBubbleSize val="0"/>
            </c:dLbl>
            <c:dLbl>
              <c:idx val="1"/>
              <c:layout>
                <c:manualLayout>
                  <c:x val="0.35986159169550175"/>
                  <c:y val="0"/>
                </c:manualLayout>
              </c:layout>
              <c:showLegendKey val="0"/>
              <c:showVal val="1"/>
              <c:showCatName val="0"/>
              <c:showSerName val="0"/>
              <c:showPercent val="0"/>
              <c:showBubbleSize val="0"/>
            </c:dLbl>
            <c:dLbl>
              <c:idx val="2"/>
              <c:layout>
                <c:manualLayout>
                  <c:x val="0.41291810841983834"/>
                  <c:y val="-4.6538676755177094E-3"/>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Table'!$A$63:$A$66</c:f>
              <c:strCache>
                <c:ptCount val="3"/>
                <c:pt idx="0">
                  <c:v>Amit</c:v>
                </c:pt>
                <c:pt idx="1">
                  <c:v>Ramesh</c:v>
                </c:pt>
                <c:pt idx="2">
                  <c:v>Rohit Das</c:v>
                </c:pt>
              </c:strCache>
            </c:strRef>
          </c:cat>
          <c:val>
            <c:numRef>
              <c:f>'Pivot Table'!$B$63:$B$66</c:f>
              <c:numCache>
                <c:formatCode>General</c:formatCode>
                <c:ptCount val="3"/>
                <c:pt idx="0">
                  <c:v>78</c:v>
                </c:pt>
                <c:pt idx="1">
                  <c:v>90</c:v>
                </c:pt>
                <c:pt idx="2">
                  <c:v>105</c:v>
                </c:pt>
              </c:numCache>
            </c:numRef>
          </c:val>
        </c:ser>
        <c:dLbls>
          <c:showLegendKey val="0"/>
          <c:showVal val="0"/>
          <c:showCatName val="0"/>
          <c:showSerName val="0"/>
          <c:showPercent val="0"/>
          <c:showBubbleSize val="0"/>
        </c:dLbls>
        <c:gapWidth val="150"/>
        <c:overlap val="100"/>
        <c:axId val="220427776"/>
        <c:axId val="220429312"/>
      </c:barChart>
      <c:catAx>
        <c:axId val="220427776"/>
        <c:scaling>
          <c:orientation val="minMax"/>
        </c:scaling>
        <c:delete val="0"/>
        <c:axPos val="l"/>
        <c:majorTickMark val="out"/>
        <c:minorTickMark val="none"/>
        <c:tickLblPos val="nextTo"/>
        <c:txPr>
          <a:bodyPr/>
          <a:lstStyle/>
          <a:p>
            <a:pPr>
              <a:defRPr sz="1100" b="1"/>
            </a:pPr>
            <a:endParaRPr lang="en-US"/>
          </a:p>
        </c:txPr>
        <c:crossAx val="220429312"/>
        <c:crosses val="autoZero"/>
        <c:auto val="1"/>
        <c:lblAlgn val="ctr"/>
        <c:lblOffset val="100"/>
        <c:noMultiLvlLbl val="0"/>
      </c:catAx>
      <c:valAx>
        <c:axId val="220429312"/>
        <c:scaling>
          <c:orientation val="minMax"/>
        </c:scaling>
        <c:delete val="1"/>
        <c:axPos val="b"/>
        <c:numFmt formatCode="General" sourceLinked="1"/>
        <c:majorTickMark val="out"/>
        <c:minorTickMark val="none"/>
        <c:tickLblPos val="nextTo"/>
        <c:crossAx val="220427776"/>
        <c:crosses val="autoZero"/>
        <c:crossBetween val="between"/>
      </c:valAx>
      <c:spPr>
        <a:noFill/>
        <a:ln w="25400">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Table!PivotTable12</c:name>
    <c:fmtId val="25"/>
  </c:pivotSource>
  <c:chart>
    <c:autoTitleDeleted val="1"/>
    <c:pivotFmts>
      <c:pivotFmt>
        <c:idx val="0"/>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0.31388888888888888"/>
              <c:y val="-9.2592592592592587E-3"/>
            </c:manualLayout>
          </c:layout>
          <c:showLegendKey val="0"/>
          <c:showVal val="1"/>
          <c:showCatName val="0"/>
          <c:showSerName val="0"/>
          <c:showPercent val="0"/>
          <c:showBubbleSize val="0"/>
        </c:dLbl>
      </c:pivotFmt>
      <c:pivotFmt>
        <c:idx val="2"/>
        <c:dLbl>
          <c:idx val="0"/>
          <c:layout>
            <c:manualLayout>
              <c:x val="0.4"/>
              <c:y val="0"/>
            </c:manualLayout>
          </c:layout>
          <c:showLegendKey val="0"/>
          <c:showVal val="1"/>
          <c:showCatName val="0"/>
          <c:showSerName val="0"/>
          <c:showPercent val="0"/>
          <c:showBubbleSize val="0"/>
        </c:dLbl>
      </c:pivotFmt>
      <c:pivotFmt>
        <c:idx val="3"/>
        <c:dLbl>
          <c:idx val="0"/>
          <c:layout>
            <c:manualLayout>
              <c:x val="0.36944444444444446"/>
              <c:y val="0"/>
            </c:manualLayout>
          </c:layout>
          <c:showLegendKey val="0"/>
          <c:showVal val="1"/>
          <c:showCatName val="0"/>
          <c:showSerName val="0"/>
          <c:showPercent val="0"/>
          <c:showBubbleSize val="0"/>
        </c:dLbl>
      </c:pivotFmt>
      <c:pivotFmt>
        <c:idx val="4"/>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5"/>
        <c:dLbl>
          <c:idx val="0"/>
          <c:layout>
            <c:manualLayout>
              <c:x val="0.36944444444444446"/>
              <c:y val="0"/>
            </c:manualLayout>
          </c:layout>
          <c:showLegendKey val="0"/>
          <c:showVal val="1"/>
          <c:showCatName val="0"/>
          <c:showSerName val="0"/>
          <c:showPercent val="0"/>
          <c:showBubbleSize val="0"/>
        </c:dLbl>
      </c:pivotFmt>
      <c:pivotFmt>
        <c:idx val="6"/>
        <c:dLbl>
          <c:idx val="0"/>
          <c:layout>
            <c:manualLayout>
              <c:x val="0.4"/>
              <c:y val="0"/>
            </c:manualLayout>
          </c:layout>
          <c:showLegendKey val="0"/>
          <c:showVal val="1"/>
          <c:showCatName val="0"/>
          <c:showSerName val="0"/>
          <c:showPercent val="0"/>
          <c:showBubbleSize val="0"/>
        </c:dLbl>
      </c:pivotFmt>
      <c:pivotFmt>
        <c:idx val="7"/>
        <c:dLbl>
          <c:idx val="0"/>
          <c:layout>
            <c:manualLayout>
              <c:x val="0.31388888888888888"/>
              <c:y val="-9.2592592592592587E-3"/>
            </c:manualLayout>
          </c:layout>
          <c:showLegendKey val="0"/>
          <c:showVal val="1"/>
          <c:showCatName val="0"/>
          <c:showSerName val="0"/>
          <c:showPercent val="0"/>
          <c:showBubbleSize val="0"/>
        </c:dLbl>
      </c:pivotFmt>
      <c:pivotFmt>
        <c:idx val="8"/>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9"/>
        <c:dLbl>
          <c:idx val="0"/>
          <c:layout>
            <c:manualLayout>
              <c:x val="0.36944444444444446"/>
              <c:y val="0"/>
            </c:manualLayout>
          </c:layout>
          <c:showLegendKey val="0"/>
          <c:showVal val="1"/>
          <c:showCatName val="0"/>
          <c:showSerName val="0"/>
          <c:showPercent val="0"/>
          <c:showBubbleSize val="0"/>
        </c:dLbl>
      </c:pivotFmt>
      <c:pivotFmt>
        <c:idx val="10"/>
        <c:dLbl>
          <c:idx val="0"/>
          <c:layout>
            <c:manualLayout>
              <c:x val="0.4"/>
              <c:y val="0"/>
            </c:manualLayout>
          </c:layout>
          <c:showLegendKey val="0"/>
          <c:showVal val="1"/>
          <c:showCatName val="0"/>
          <c:showSerName val="0"/>
          <c:showPercent val="0"/>
          <c:showBubbleSize val="0"/>
        </c:dLbl>
      </c:pivotFmt>
      <c:pivotFmt>
        <c:idx val="11"/>
        <c:dLbl>
          <c:idx val="0"/>
          <c:layout>
            <c:manualLayout>
              <c:x val="0.31388888888888888"/>
              <c:y val="-9.2592592592592587E-3"/>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'Pivot Table'!$B$69</c:f>
              <c:strCache>
                <c:ptCount val="1"/>
                <c:pt idx="0">
                  <c:v>Total</c:v>
                </c:pt>
              </c:strCache>
            </c:strRef>
          </c:tx>
          <c:invertIfNegative val="0"/>
          <c:dLbls>
            <c:dLbl>
              <c:idx val="0"/>
              <c:layout>
                <c:manualLayout>
                  <c:x val="0.36944444444444446"/>
                  <c:y val="0"/>
                </c:manualLayout>
              </c:layout>
              <c:showLegendKey val="0"/>
              <c:showVal val="1"/>
              <c:showCatName val="0"/>
              <c:showSerName val="0"/>
              <c:showPercent val="0"/>
              <c:showBubbleSize val="0"/>
            </c:dLbl>
            <c:dLbl>
              <c:idx val="1"/>
              <c:layout>
                <c:manualLayout>
                  <c:x val="0.4"/>
                  <c:y val="0"/>
                </c:manualLayout>
              </c:layout>
              <c:showLegendKey val="0"/>
              <c:showVal val="1"/>
              <c:showCatName val="0"/>
              <c:showSerName val="0"/>
              <c:showPercent val="0"/>
              <c:showBubbleSize val="0"/>
            </c:dLbl>
            <c:dLbl>
              <c:idx val="2"/>
              <c:layout>
                <c:manualLayout>
                  <c:x val="0.31388888888888888"/>
                  <c:y val="-9.2592592592592587E-3"/>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Table'!$A$70:$A$73</c:f>
              <c:strCache>
                <c:ptCount val="3"/>
                <c:pt idx="0">
                  <c:v>Ajit Kumar</c:v>
                </c:pt>
                <c:pt idx="1">
                  <c:v>Chandu</c:v>
                </c:pt>
                <c:pt idx="2">
                  <c:v>Sidhu</c:v>
                </c:pt>
              </c:strCache>
            </c:strRef>
          </c:cat>
          <c:val>
            <c:numRef>
              <c:f>'Pivot Table'!$B$70:$B$73</c:f>
              <c:numCache>
                <c:formatCode>General</c:formatCode>
                <c:ptCount val="3"/>
                <c:pt idx="0">
                  <c:v>66</c:v>
                </c:pt>
                <c:pt idx="1">
                  <c:v>72</c:v>
                </c:pt>
                <c:pt idx="2">
                  <c:v>56</c:v>
                </c:pt>
              </c:numCache>
            </c:numRef>
          </c:val>
        </c:ser>
        <c:dLbls>
          <c:showLegendKey val="0"/>
          <c:showVal val="0"/>
          <c:showCatName val="0"/>
          <c:showSerName val="0"/>
          <c:showPercent val="0"/>
          <c:showBubbleSize val="0"/>
        </c:dLbls>
        <c:gapWidth val="150"/>
        <c:overlap val="100"/>
        <c:axId val="220787456"/>
        <c:axId val="220788992"/>
      </c:barChart>
      <c:catAx>
        <c:axId val="220787456"/>
        <c:scaling>
          <c:orientation val="minMax"/>
        </c:scaling>
        <c:delete val="0"/>
        <c:axPos val="l"/>
        <c:majorTickMark val="out"/>
        <c:minorTickMark val="none"/>
        <c:tickLblPos val="nextTo"/>
        <c:txPr>
          <a:bodyPr/>
          <a:lstStyle/>
          <a:p>
            <a:pPr>
              <a:defRPr sz="1100" b="1"/>
            </a:pPr>
            <a:endParaRPr lang="en-US"/>
          </a:p>
        </c:txPr>
        <c:crossAx val="220788992"/>
        <c:crosses val="autoZero"/>
        <c:auto val="1"/>
        <c:lblAlgn val="ctr"/>
        <c:lblOffset val="100"/>
        <c:noMultiLvlLbl val="0"/>
      </c:catAx>
      <c:valAx>
        <c:axId val="220788992"/>
        <c:scaling>
          <c:orientation val="minMax"/>
        </c:scaling>
        <c:delete val="1"/>
        <c:axPos val="b"/>
        <c:numFmt formatCode="General" sourceLinked="1"/>
        <c:majorTickMark val="out"/>
        <c:minorTickMark val="none"/>
        <c:tickLblPos val="nextTo"/>
        <c:crossAx val="220787456"/>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Table!PivotTable13</c:name>
    <c:fmtId val="26"/>
  </c:pivotSource>
  <c:chart>
    <c:autoTitleDeleted val="1"/>
    <c:pivotFmts>
      <c:pivotFmt>
        <c:idx val="0"/>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2.7777777777777523E-3"/>
              <c:y val="-0.41666666666666663"/>
            </c:manualLayout>
          </c:layout>
          <c:showLegendKey val="0"/>
          <c:showVal val="1"/>
          <c:showCatName val="0"/>
          <c:showSerName val="0"/>
          <c:showPercent val="0"/>
          <c:showBubbleSize val="0"/>
        </c:dLbl>
      </c:pivotFmt>
      <c:pivotFmt>
        <c:idx val="2"/>
        <c:dLbl>
          <c:idx val="0"/>
          <c:layout>
            <c:manualLayout>
              <c:x val="-2.7777777777777267E-3"/>
              <c:y val="-0.18055555555555555"/>
            </c:manualLayout>
          </c:layout>
          <c:showLegendKey val="0"/>
          <c:showVal val="1"/>
          <c:showCatName val="0"/>
          <c:showSerName val="0"/>
          <c:showPercent val="0"/>
          <c:showBubbleSize val="0"/>
        </c:dLbl>
      </c:pivotFmt>
      <c:pivotFmt>
        <c:idx val="3"/>
        <c:dLbl>
          <c:idx val="0"/>
          <c:layout>
            <c:manualLayout>
              <c:x val="-2.7777777777777779E-3"/>
              <c:y val="-0.34722222222222221"/>
            </c:manualLayout>
          </c:layout>
          <c:showLegendKey val="0"/>
          <c:showVal val="1"/>
          <c:showCatName val="0"/>
          <c:showSerName val="0"/>
          <c:showPercent val="0"/>
          <c:showBubbleSize val="0"/>
        </c:dLbl>
      </c:pivotFmt>
      <c:pivotFmt>
        <c:idx val="4"/>
        <c:dLbl>
          <c:idx val="0"/>
          <c:layout>
            <c:manualLayout>
              <c:x val="0"/>
              <c:y val="-0.32407407407407407"/>
            </c:manualLayout>
          </c:layout>
          <c:showLegendKey val="0"/>
          <c:showVal val="1"/>
          <c:showCatName val="0"/>
          <c:showSerName val="0"/>
          <c:showPercent val="0"/>
          <c:showBubbleSize val="0"/>
        </c:dLbl>
      </c:pivotFmt>
      <c:pivotFmt>
        <c:idx val="5"/>
        <c:dLbl>
          <c:idx val="0"/>
          <c:layout>
            <c:manualLayout>
              <c:x val="-5.5555555555555558E-3"/>
              <c:y val="-6.4814814814814811E-2"/>
            </c:manualLayout>
          </c:layout>
          <c:showLegendKey val="0"/>
          <c:showVal val="1"/>
          <c:showCatName val="0"/>
          <c:showSerName val="0"/>
          <c:showPercent val="0"/>
          <c:showBubbleSize val="0"/>
        </c:dLbl>
      </c:pivotFmt>
      <c:pivotFmt>
        <c:idx val="6"/>
        <c:dLbl>
          <c:idx val="0"/>
          <c:layout>
            <c:manualLayout>
              <c:x val="0"/>
              <c:y val="-6.9444444444444364E-2"/>
            </c:manualLayout>
          </c:layout>
          <c:showLegendKey val="0"/>
          <c:showVal val="1"/>
          <c:showCatName val="0"/>
          <c:showSerName val="0"/>
          <c:showPercent val="0"/>
          <c:showBubbleSize val="0"/>
        </c:dLbl>
      </c:pivotFmt>
      <c:pivotFmt>
        <c:idx val="7"/>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8"/>
        <c:dLbl>
          <c:idx val="0"/>
          <c:layout>
            <c:manualLayout>
              <c:x val="0"/>
              <c:y val="-6.9444444444444364E-2"/>
            </c:manualLayout>
          </c:layout>
          <c:showLegendKey val="0"/>
          <c:showVal val="1"/>
          <c:showCatName val="0"/>
          <c:showSerName val="0"/>
          <c:showPercent val="0"/>
          <c:showBubbleSize val="0"/>
        </c:dLbl>
      </c:pivotFmt>
      <c:pivotFmt>
        <c:idx val="9"/>
        <c:dLbl>
          <c:idx val="0"/>
          <c:layout>
            <c:manualLayout>
              <c:x val="-2.7777777777777523E-3"/>
              <c:y val="-0.41666666666666663"/>
            </c:manualLayout>
          </c:layout>
          <c:showLegendKey val="0"/>
          <c:showVal val="1"/>
          <c:showCatName val="0"/>
          <c:showSerName val="0"/>
          <c:showPercent val="0"/>
          <c:showBubbleSize val="0"/>
        </c:dLbl>
      </c:pivotFmt>
      <c:pivotFmt>
        <c:idx val="10"/>
        <c:dLbl>
          <c:idx val="0"/>
          <c:layout>
            <c:manualLayout>
              <c:x val="-2.7777777777777267E-3"/>
              <c:y val="-0.18055555555555555"/>
            </c:manualLayout>
          </c:layout>
          <c:showLegendKey val="0"/>
          <c:showVal val="1"/>
          <c:showCatName val="0"/>
          <c:showSerName val="0"/>
          <c:showPercent val="0"/>
          <c:showBubbleSize val="0"/>
        </c:dLbl>
      </c:pivotFmt>
      <c:pivotFmt>
        <c:idx val="11"/>
        <c:dLbl>
          <c:idx val="0"/>
          <c:layout>
            <c:manualLayout>
              <c:x val="-2.7777777777777779E-3"/>
              <c:y val="-0.34722222222222221"/>
            </c:manualLayout>
          </c:layout>
          <c:showLegendKey val="0"/>
          <c:showVal val="1"/>
          <c:showCatName val="0"/>
          <c:showSerName val="0"/>
          <c:showPercent val="0"/>
          <c:showBubbleSize val="0"/>
        </c:dLbl>
      </c:pivotFmt>
      <c:pivotFmt>
        <c:idx val="12"/>
        <c:dLbl>
          <c:idx val="0"/>
          <c:layout>
            <c:manualLayout>
              <c:x val="0"/>
              <c:y val="-0.32407407407407407"/>
            </c:manualLayout>
          </c:layout>
          <c:showLegendKey val="0"/>
          <c:showVal val="1"/>
          <c:showCatName val="0"/>
          <c:showSerName val="0"/>
          <c:showPercent val="0"/>
          <c:showBubbleSize val="0"/>
        </c:dLbl>
      </c:pivotFmt>
      <c:pivotFmt>
        <c:idx val="13"/>
        <c:dLbl>
          <c:idx val="0"/>
          <c:layout>
            <c:manualLayout>
              <c:x val="-5.5555555555555558E-3"/>
              <c:y val="-6.4814814814814811E-2"/>
            </c:manualLayout>
          </c:layout>
          <c:showLegendKey val="0"/>
          <c:showVal val="1"/>
          <c:showCatName val="0"/>
          <c:showSerName val="0"/>
          <c:showPercent val="0"/>
          <c:showBubbleSize val="0"/>
        </c:dLbl>
      </c:pivotFmt>
      <c:pivotFmt>
        <c:idx val="14"/>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5"/>
        <c:dLbl>
          <c:idx val="0"/>
          <c:layout>
            <c:manualLayout>
              <c:x val="0"/>
              <c:y val="-6.9444444444444364E-2"/>
            </c:manualLayout>
          </c:layout>
          <c:showLegendKey val="0"/>
          <c:showVal val="1"/>
          <c:showCatName val="0"/>
          <c:showSerName val="0"/>
          <c:showPercent val="0"/>
          <c:showBubbleSize val="0"/>
        </c:dLbl>
      </c:pivotFmt>
      <c:pivotFmt>
        <c:idx val="16"/>
        <c:dLbl>
          <c:idx val="0"/>
          <c:layout>
            <c:manualLayout>
              <c:x val="-2.7777777777777523E-3"/>
              <c:y val="-0.41666666666666663"/>
            </c:manualLayout>
          </c:layout>
          <c:showLegendKey val="0"/>
          <c:showVal val="1"/>
          <c:showCatName val="0"/>
          <c:showSerName val="0"/>
          <c:showPercent val="0"/>
          <c:showBubbleSize val="0"/>
        </c:dLbl>
      </c:pivotFmt>
      <c:pivotFmt>
        <c:idx val="17"/>
        <c:dLbl>
          <c:idx val="0"/>
          <c:layout>
            <c:manualLayout>
              <c:x val="-2.7777777777777267E-3"/>
              <c:y val="-0.18055555555555555"/>
            </c:manualLayout>
          </c:layout>
          <c:showLegendKey val="0"/>
          <c:showVal val="1"/>
          <c:showCatName val="0"/>
          <c:showSerName val="0"/>
          <c:showPercent val="0"/>
          <c:showBubbleSize val="0"/>
        </c:dLbl>
      </c:pivotFmt>
      <c:pivotFmt>
        <c:idx val="18"/>
        <c:dLbl>
          <c:idx val="0"/>
          <c:layout>
            <c:manualLayout>
              <c:x val="-2.7777777777777779E-3"/>
              <c:y val="-0.34722222222222221"/>
            </c:manualLayout>
          </c:layout>
          <c:showLegendKey val="0"/>
          <c:showVal val="1"/>
          <c:showCatName val="0"/>
          <c:showSerName val="0"/>
          <c:showPercent val="0"/>
          <c:showBubbleSize val="0"/>
        </c:dLbl>
      </c:pivotFmt>
      <c:pivotFmt>
        <c:idx val="19"/>
        <c:dLbl>
          <c:idx val="0"/>
          <c:layout>
            <c:manualLayout>
              <c:x val="0"/>
              <c:y val="-0.32407407407407407"/>
            </c:manualLayout>
          </c:layout>
          <c:showLegendKey val="0"/>
          <c:showVal val="1"/>
          <c:showCatName val="0"/>
          <c:showSerName val="0"/>
          <c:showPercent val="0"/>
          <c:showBubbleSize val="0"/>
        </c:dLbl>
      </c:pivotFmt>
      <c:pivotFmt>
        <c:idx val="20"/>
        <c:dLbl>
          <c:idx val="0"/>
          <c:layout>
            <c:manualLayout>
              <c:x val="-5.5555555555555558E-3"/>
              <c:y val="-6.4814814814814811E-2"/>
            </c:manualLayout>
          </c:layout>
          <c:showLegendKey val="0"/>
          <c:showVal val="1"/>
          <c:showCatName val="0"/>
          <c:showSerName val="0"/>
          <c:showPercent val="0"/>
          <c:showBubbleSize val="0"/>
        </c:dLbl>
      </c:pivotFmt>
    </c:pivotFmts>
    <c:plotArea>
      <c:layout>
        <c:manualLayout>
          <c:layoutTarget val="inner"/>
          <c:xMode val="edge"/>
          <c:yMode val="edge"/>
          <c:x val="3.0555555555555555E-2"/>
          <c:y val="5.0925925925925923E-2"/>
          <c:w val="0.93888888888888888"/>
          <c:h val="0.83309419655876349"/>
        </c:manualLayout>
      </c:layout>
      <c:barChart>
        <c:barDir val="col"/>
        <c:grouping val="stacked"/>
        <c:varyColors val="0"/>
        <c:ser>
          <c:idx val="0"/>
          <c:order val="0"/>
          <c:tx>
            <c:strRef>
              <c:f>'Pivot Table'!$B$76</c:f>
              <c:strCache>
                <c:ptCount val="1"/>
                <c:pt idx="0">
                  <c:v>Total</c:v>
                </c:pt>
              </c:strCache>
            </c:strRef>
          </c:tx>
          <c:invertIfNegative val="0"/>
          <c:dLbls>
            <c:dLbl>
              <c:idx val="0"/>
              <c:layout>
                <c:manualLayout>
                  <c:x val="0"/>
                  <c:y val="-6.9444444444444364E-2"/>
                </c:manualLayout>
              </c:layout>
              <c:showLegendKey val="0"/>
              <c:showVal val="1"/>
              <c:showCatName val="0"/>
              <c:showSerName val="0"/>
              <c:showPercent val="0"/>
              <c:showBubbleSize val="0"/>
            </c:dLbl>
            <c:dLbl>
              <c:idx val="1"/>
              <c:layout>
                <c:manualLayout>
                  <c:x val="-2.7777777777777523E-3"/>
                  <c:y val="-0.41666666666666663"/>
                </c:manualLayout>
              </c:layout>
              <c:showLegendKey val="0"/>
              <c:showVal val="1"/>
              <c:showCatName val="0"/>
              <c:showSerName val="0"/>
              <c:showPercent val="0"/>
              <c:showBubbleSize val="0"/>
            </c:dLbl>
            <c:dLbl>
              <c:idx val="2"/>
              <c:layout>
                <c:manualLayout>
                  <c:x val="-2.7777777777777267E-3"/>
                  <c:y val="-0.18055555555555555"/>
                </c:manualLayout>
              </c:layout>
              <c:showLegendKey val="0"/>
              <c:showVal val="1"/>
              <c:showCatName val="0"/>
              <c:showSerName val="0"/>
              <c:showPercent val="0"/>
              <c:showBubbleSize val="0"/>
            </c:dLbl>
            <c:dLbl>
              <c:idx val="3"/>
              <c:layout>
                <c:manualLayout>
                  <c:x val="-2.7777777777777779E-3"/>
                  <c:y val="-0.34722222222222221"/>
                </c:manualLayout>
              </c:layout>
              <c:showLegendKey val="0"/>
              <c:showVal val="1"/>
              <c:showCatName val="0"/>
              <c:showSerName val="0"/>
              <c:showPercent val="0"/>
              <c:showBubbleSize val="0"/>
            </c:dLbl>
            <c:dLbl>
              <c:idx val="4"/>
              <c:layout>
                <c:manualLayout>
                  <c:x val="0"/>
                  <c:y val="-0.32407407407407407"/>
                </c:manualLayout>
              </c:layout>
              <c:showLegendKey val="0"/>
              <c:showVal val="1"/>
              <c:showCatName val="0"/>
              <c:showSerName val="0"/>
              <c:showPercent val="0"/>
              <c:showBubbleSize val="0"/>
            </c:dLbl>
            <c:dLbl>
              <c:idx val="5"/>
              <c:layout>
                <c:manualLayout>
                  <c:x val="-5.5555555555555558E-3"/>
                  <c:y val="-6.4814814814814811E-2"/>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Table'!$A$77:$A$83</c:f>
              <c:strCache>
                <c:ptCount val="6"/>
                <c:pt idx="0">
                  <c:v>Ajit Kumar</c:v>
                </c:pt>
                <c:pt idx="1">
                  <c:v>Amit</c:v>
                </c:pt>
                <c:pt idx="2">
                  <c:v>Chandu</c:v>
                </c:pt>
                <c:pt idx="3">
                  <c:v>Ramesh</c:v>
                </c:pt>
                <c:pt idx="4">
                  <c:v>Rohit Das</c:v>
                </c:pt>
                <c:pt idx="5">
                  <c:v>Sidhu</c:v>
                </c:pt>
              </c:strCache>
            </c:strRef>
          </c:cat>
          <c:val>
            <c:numRef>
              <c:f>'Pivot Table'!$B$77:$B$83</c:f>
              <c:numCache>
                <c:formatCode>General</c:formatCode>
                <c:ptCount val="6"/>
                <c:pt idx="0">
                  <c:v>13660</c:v>
                </c:pt>
                <c:pt idx="1">
                  <c:v>140400</c:v>
                </c:pt>
                <c:pt idx="2">
                  <c:v>50400</c:v>
                </c:pt>
                <c:pt idx="3">
                  <c:v>114820</c:v>
                </c:pt>
                <c:pt idx="4">
                  <c:v>109170</c:v>
                </c:pt>
                <c:pt idx="5">
                  <c:v>11960</c:v>
                </c:pt>
              </c:numCache>
            </c:numRef>
          </c:val>
        </c:ser>
        <c:dLbls>
          <c:showLegendKey val="0"/>
          <c:showVal val="0"/>
          <c:showCatName val="0"/>
          <c:showSerName val="0"/>
          <c:showPercent val="0"/>
          <c:showBubbleSize val="0"/>
        </c:dLbls>
        <c:gapWidth val="150"/>
        <c:overlap val="100"/>
        <c:axId val="220853760"/>
        <c:axId val="220864512"/>
      </c:barChart>
      <c:catAx>
        <c:axId val="220853760"/>
        <c:scaling>
          <c:orientation val="minMax"/>
        </c:scaling>
        <c:delete val="0"/>
        <c:axPos val="b"/>
        <c:majorTickMark val="out"/>
        <c:minorTickMark val="none"/>
        <c:tickLblPos val="nextTo"/>
        <c:txPr>
          <a:bodyPr/>
          <a:lstStyle/>
          <a:p>
            <a:pPr>
              <a:defRPr sz="1100" b="1"/>
            </a:pPr>
            <a:endParaRPr lang="en-US"/>
          </a:p>
        </c:txPr>
        <c:crossAx val="220864512"/>
        <c:crosses val="autoZero"/>
        <c:auto val="1"/>
        <c:lblAlgn val="ctr"/>
        <c:lblOffset val="100"/>
        <c:noMultiLvlLbl val="0"/>
      </c:catAx>
      <c:valAx>
        <c:axId val="220864512"/>
        <c:scaling>
          <c:orientation val="minMax"/>
        </c:scaling>
        <c:delete val="1"/>
        <c:axPos val="l"/>
        <c:numFmt formatCode="General" sourceLinked="1"/>
        <c:majorTickMark val="out"/>
        <c:minorTickMark val="none"/>
        <c:tickLblPos val="nextTo"/>
        <c:crossAx val="220853760"/>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Table!PivotTable5</c:name>
    <c:fmtId val="16"/>
  </c:pivotSource>
  <c:chart>
    <c:autoTitleDeleted val="1"/>
    <c:pivotFmts>
      <c:pivotFmt>
        <c:idx val="0"/>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Table'!$B$36</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Table'!$A$37:$A$40</c:f>
              <c:strCache>
                <c:ptCount val="3"/>
                <c:pt idx="0">
                  <c:v>Keyboard</c:v>
                </c:pt>
                <c:pt idx="1">
                  <c:v>Moniter</c:v>
                </c:pt>
                <c:pt idx="2">
                  <c:v>Mouse</c:v>
                </c:pt>
              </c:strCache>
            </c:strRef>
          </c:cat>
          <c:val>
            <c:numRef>
              <c:f>'Pivot Table'!$B$37:$B$40</c:f>
              <c:numCache>
                <c:formatCode>General</c:formatCode>
                <c:ptCount val="3"/>
                <c:pt idx="0">
                  <c:v>66130</c:v>
                </c:pt>
                <c:pt idx="1">
                  <c:v>113320</c:v>
                </c:pt>
                <c:pt idx="2">
                  <c:v>115410</c:v>
                </c:pt>
              </c:numCache>
            </c:numRef>
          </c:val>
        </c:ser>
        <c:dLbls>
          <c:showLegendKey val="0"/>
          <c:showVal val="0"/>
          <c:showCatName val="0"/>
          <c:showSerName val="0"/>
          <c:showPercent val="0"/>
          <c:showBubbleSize val="0"/>
        </c:dLbls>
        <c:gapWidth val="150"/>
        <c:axId val="210166912"/>
        <c:axId val="210735488"/>
      </c:barChart>
      <c:catAx>
        <c:axId val="210166912"/>
        <c:scaling>
          <c:orientation val="minMax"/>
        </c:scaling>
        <c:delete val="0"/>
        <c:axPos val="l"/>
        <c:majorTickMark val="out"/>
        <c:minorTickMark val="none"/>
        <c:tickLblPos val="nextTo"/>
        <c:txPr>
          <a:bodyPr/>
          <a:lstStyle/>
          <a:p>
            <a:pPr>
              <a:defRPr sz="1100" b="1"/>
            </a:pPr>
            <a:endParaRPr lang="en-US"/>
          </a:p>
        </c:txPr>
        <c:crossAx val="210735488"/>
        <c:crosses val="autoZero"/>
        <c:auto val="1"/>
        <c:lblAlgn val="ctr"/>
        <c:lblOffset val="100"/>
        <c:noMultiLvlLbl val="0"/>
      </c:catAx>
      <c:valAx>
        <c:axId val="210735488"/>
        <c:scaling>
          <c:orientation val="minMax"/>
        </c:scaling>
        <c:delete val="1"/>
        <c:axPos val="b"/>
        <c:numFmt formatCode="General" sourceLinked="1"/>
        <c:majorTickMark val="out"/>
        <c:minorTickMark val="none"/>
        <c:tickLblPos val="nextTo"/>
        <c:crossAx val="210166912"/>
        <c:crosses val="autoZero"/>
        <c:crossBetween val="between"/>
      </c:valAx>
      <c:spPr>
        <a:noFill/>
        <a:ln w="25400">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Table!PivotTable6</c:name>
    <c:fmtId val="17"/>
  </c:pivotSource>
  <c:chart>
    <c:autoTitleDeleted val="1"/>
    <c:pivotFmts>
      <c:pivotFmt>
        <c:idx val="0"/>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1"/>
        <c:marker>
          <c:symbol val="none"/>
        </c:marker>
        <c:dLbl>
          <c:idx val="0"/>
          <c:spPr/>
          <c:txPr>
            <a:bodyPr/>
            <a:lstStyle/>
            <a:p>
              <a:pPr>
                <a:defRPr sz="1100" b="1"/>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Table'!$B$45</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Table'!$A$46:$A$49</c:f>
              <c:strCache>
                <c:ptCount val="3"/>
                <c:pt idx="0">
                  <c:v>Joystick</c:v>
                </c:pt>
                <c:pt idx="1">
                  <c:v>Printer</c:v>
                </c:pt>
                <c:pt idx="2">
                  <c:v>Scanner</c:v>
                </c:pt>
              </c:strCache>
            </c:strRef>
          </c:cat>
          <c:val>
            <c:numRef>
              <c:f>'Pivot Table'!$B$46:$B$49</c:f>
              <c:numCache>
                <c:formatCode>General</c:formatCode>
                <c:ptCount val="3"/>
                <c:pt idx="0">
                  <c:v>43940</c:v>
                </c:pt>
                <c:pt idx="1">
                  <c:v>42860</c:v>
                </c:pt>
                <c:pt idx="2">
                  <c:v>58750</c:v>
                </c:pt>
              </c:numCache>
            </c:numRef>
          </c:val>
        </c:ser>
        <c:dLbls>
          <c:showLegendKey val="0"/>
          <c:showVal val="0"/>
          <c:showCatName val="0"/>
          <c:showSerName val="0"/>
          <c:showPercent val="0"/>
          <c:showBubbleSize val="0"/>
        </c:dLbls>
        <c:gapWidth val="150"/>
        <c:axId val="165827712"/>
        <c:axId val="175655168"/>
      </c:barChart>
      <c:catAx>
        <c:axId val="165827712"/>
        <c:scaling>
          <c:orientation val="minMax"/>
        </c:scaling>
        <c:delete val="0"/>
        <c:axPos val="l"/>
        <c:majorTickMark val="out"/>
        <c:minorTickMark val="none"/>
        <c:tickLblPos val="nextTo"/>
        <c:txPr>
          <a:bodyPr/>
          <a:lstStyle/>
          <a:p>
            <a:pPr>
              <a:defRPr sz="1100" b="1"/>
            </a:pPr>
            <a:endParaRPr lang="en-US"/>
          </a:p>
        </c:txPr>
        <c:crossAx val="175655168"/>
        <c:crosses val="autoZero"/>
        <c:auto val="1"/>
        <c:lblAlgn val="ctr"/>
        <c:lblOffset val="100"/>
        <c:noMultiLvlLbl val="0"/>
      </c:catAx>
      <c:valAx>
        <c:axId val="175655168"/>
        <c:scaling>
          <c:orientation val="minMax"/>
        </c:scaling>
        <c:delete val="1"/>
        <c:axPos val="b"/>
        <c:numFmt formatCode="General" sourceLinked="1"/>
        <c:majorTickMark val="out"/>
        <c:minorTickMark val="none"/>
        <c:tickLblPos val="nextTo"/>
        <c:crossAx val="16582771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Table!PivotTable7</c:name>
    <c:fmtId val="20"/>
  </c:pivotSource>
  <c:chart>
    <c:autoTitleDeleted val="1"/>
    <c:pivotFmts>
      <c:pivotFmt>
        <c:idx val="0"/>
        <c:marker>
          <c:symbol val="none"/>
        </c:marker>
      </c:pivotFmt>
      <c:pivotFmt>
        <c:idx val="1"/>
        <c:marker>
          <c:symbol val="none"/>
        </c:marker>
      </c:pivotFmt>
      <c:pivotFmt>
        <c:idx val="2"/>
        <c:marker>
          <c:symbol val="none"/>
        </c:marker>
      </c:pivotFmt>
    </c:pivotFmts>
    <c:plotArea>
      <c:layout/>
      <c:barChart>
        <c:barDir val="col"/>
        <c:grouping val="stacked"/>
        <c:varyColors val="0"/>
        <c:ser>
          <c:idx val="0"/>
          <c:order val="0"/>
          <c:tx>
            <c:strRef>
              <c:f>'Pivot Table'!$B$53</c:f>
              <c:strCache>
                <c:ptCount val="1"/>
                <c:pt idx="0">
                  <c:v>Total</c:v>
                </c:pt>
              </c:strCache>
            </c:strRef>
          </c:tx>
          <c:invertIfNegative val="0"/>
          <c:cat>
            <c:strRef>
              <c:f>'Pivot Table'!$A$54:$A$60</c:f>
              <c:strCache>
                <c:ptCount val="6"/>
                <c:pt idx="0">
                  <c:v>Joystick</c:v>
                </c:pt>
                <c:pt idx="1">
                  <c:v>Keyboard</c:v>
                </c:pt>
                <c:pt idx="2">
                  <c:v>Moniter</c:v>
                </c:pt>
                <c:pt idx="3">
                  <c:v>Mouse</c:v>
                </c:pt>
                <c:pt idx="4">
                  <c:v>Printer</c:v>
                </c:pt>
                <c:pt idx="5">
                  <c:v>Scanner</c:v>
                </c:pt>
              </c:strCache>
            </c:strRef>
          </c:cat>
          <c:val>
            <c:numRef>
              <c:f>'Pivot Table'!$B$54:$B$60</c:f>
              <c:numCache>
                <c:formatCode>General</c:formatCode>
                <c:ptCount val="6"/>
                <c:pt idx="0">
                  <c:v>43940</c:v>
                </c:pt>
                <c:pt idx="1">
                  <c:v>66130</c:v>
                </c:pt>
                <c:pt idx="2">
                  <c:v>113320</c:v>
                </c:pt>
                <c:pt idx="3">
                  <c:v>115410</c:v>
                </c:pt>
                <c:pt idx="4">
                  <c:v>42860</c:v>
                </c:pt>
                <c:pt idx="5">
                  <c:v>58750</c:v>
                </c:pt>
              </c:numCache>
            </c:numRef>
          </c:val>
        </c:ser>
        <c:dLbls>
          <c:showLegendKey val="0"/>
          <c:showVal val="0"/>
          <c:showCatName val="0"/>
          <c:showSerName val="0"/>
          <c:showPercent val="0"/>
          <c:showBubbleSize val="0"/>
        </c:dLbls>
        <c:gapWidth val="150"/>
        <c:overlap val="100"/>
        <c:axId val="211230720"/>
        <c:axId val="211232256"/>
      </c:barChart>
      <c:catAx>
        <c:axId val="211230720"/>
        <c:scaling>
          <c:orientation val="minMax"/>
        </c:scaling>
        <c:delete val="0"/>
        <c:axPos val="b"/>
        <c:majorTickMark val="out"/>
        <c:minorTickMark val="none"/>
        <c:tickLblPos val="nextTo"/>
        <c:txPr>
          <a:bodyPr/>
          <a:lstStyle/>
          <a:p>
            <a:pPr>
              <a:defRPr sz="1100" b="1"/>
            </a:pPr>
            <a:endParaRPr lang="en-US"/>
          </a:p>
        </c:txPr>
        <c:crossAx val="211232256"/>
        <c:crosses val="autoZero"/>
        <c:auto val="1"/>
        <c:lblAlgn val="ctr"/>
        <c:lblOffset val="100"/>
        <c:noMultiLvlLbl val="0"/>
      </c:catAx>
      <c:valAx>
        <c:axId val="211232256"/>
        <c:scaling>
          <c:orientation val="minMax"/>
        </c:scaling>
        <c:delete val="0"/>
        <c:axPos val="l"/>
        <c:numFmt formatCode="General" sourceLinked="1"/>
        <c:majorTickMark val="out"/>
        <c:minorTickMark val="none"/>
        <c:tickLblPos val="nextTo"/>
        <c:txPr>
          <a:bodyPr/>
          <a:lstStyle/>
          <a:p>
            <a:pPr>
              <a:defRPr sz="1100" b="1"/>
            </a:pPr>
            <a:endParaRPr lang="en-US"/>
          </a:p>
        </c:txPr>
        <c:crossAx val="211230720"/>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Table!PivotTable2</c:name>
    <c:fmtId val="4"/>
  </c:pivotSource>
  <c:chart>
    <c:autoTitleDeleted val="1"/>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'Pivot Table'!$B$2</c:f>
              <c:strCache>
                <c:ptCount val="1"/>
                <c:pt idx="0">
                  <c:v>Total</c:v>
                </c:pt>
              </c:strCache>
            </c:strRef>
          </c:tx>
          <c:marker>
            <c:symbol val="none"/>
          </c:marker>
          <c:cat>
            <c:strRef>
              <c:f>'Pivot Table'!$A$3:$A$15</c:f>
              <c:strCache>
                <c:ptCount val="12"/>
                <c:pt idx="0">
                  <c:v>Group1</c:v>
                </c:pt>
                <c:pt idx="1">
                  <c:v>Group2</c:v>
                </c:pt>
                <c:pt idx="2">
                  <c:v>Group3</c:v>
                </c:pt>
                <c:pt idx="3">
                  <c:v>Group4</c:v>
                </c:pt>
                <c:pt idx="4">
                  <c:v>Group5</c:v>
                </c:pt>
                <c:pt idx="5">
                  <c:v>Group6</c:v>
                </c:pt>
                <c:pt idx="6">
                  <c:v>Group7</c:v>
                </c:pt>
                <c:pt idx="7">
                  <c:v>Group8</c:v>
                </c:pt>
                <c:pt idx="8">
                  <c:v>Group9</c:v>
                </c:pt>
                <c:pt idx="9">
                  <c:v>Group10</c:v>
                </c:pt>
                <c:pt idx="10">
                  <c:v>Group11</c:v>
                </c:pt>
                <c:pt idx="11">
                  <c:v>Group12</c:v>
                </c:pt>
              </c:strCache>
            </c:strRef>
          </c:cat>
          <c:val>
            <c:numRef>
              <c:f>'Pivot Table'!$B$3:$B$15</c:f>
              <c:numCache>
                <c:formatCode>General</c:formatCode>
                <c:ptCount val="12"/>
                <c:pt idx="0">
                  <c:v>102360</c:v>
                </c:pt>
                <c:pt idx="1">
                  <c:v>43840</c:v>
                </c:pt>
                <c:pt idx="2">
                  <c:v>83890</c:v>
                </c:pt>
                <c:pt idx="3">
                  <c:v>29410</c:v>
                </c:pt>
                <c:pt idx="4">
                  <c:v>29260</c:v>
                </c:pt>
                <c:pt idx="5">
                  <c:v>18130</c:v>
                </c:pt>
                <c:pt idx="6">
                  <c:v>12270</c:v>
                </c:pt>
                <c:pt idx="7">
                  <c:v>10370</c:v>
                </c:pt>
                <c:pt idx="8">
                  <c:v>17150</c:v>
                </c:pt>
                <c:pt idx="9">
                  <c:v>24200</c:v>
                </c:pt>
                <c:pt idx="10">
                  <c:v>24390</c:v>
                </c:pt>
                <c:pt idx="11">
                  <c:v>45140</c:v>
                </c:pt>
              </c:numCache>
            </c:numRef>
          </c:val>
          <c:smooth val="0"/>
        </c:ser>
        <c:dLbls>
          <c:showLegendKey val="0"/>
          <c:showVal val="0"/>
          <c:showCatName val="0"/>
          <c:showSerName val="0"/>
          <c:showPercent val="0"/>
          <c:showBubbleSize val="0"/>
        </c:dLbls>
        <c:marker val="1"/>
        <c:smooth val="0"/>
        <c:axId val="211045376"/>
        <c:axId val="211063552"/>
      </c:lineChart>
      <c:catAx>
        <c:axId val="211045376"/>
        <c:scaling>
          <c:orientation val="minMax"/>
        </c:scaling>
        <c:delete val="0"/>
        <c:axPos val="b"/>
        <c:majorTickMark val="none"/>
        <c:minorTickMark val="none"/>
        <c:tickLblPos val="nextTo"/>
        <c:crossAx val="211063552"/>
        <c:crosses val="autoZero"/>
        <c:auto val="1"/>
        <c:lblAlgn val="ctr"/>
        <c:lblOffset val="100"/>
        <c:noMultiLvlLbl val="0"/>
      </c:catAx>
      <c:valAx>
        <c:axId val="211063552"/>
        <c:scaling>
          <c:orientation val="minMax"/>
        </c:scaling>
        <c:delete val="0"/>
        <c:axPos val="l"/>
        <c:numFmt formatCode="General" sourceLinked="1"/>
        <c:majorTickMark val="none"/>
        <c:minorTickMark val="none"/>
        <c:tickLblPos val="nextTo"/>
        <c:crossAx val="211045376"/>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Table!PivotTable3</c:name>
    <c:fmtId val="5"/>
  </c:pivotSource>
  <c:chart>
    <c:autoTitleDeleted val="1"/>
    <c:pivotFmts>
      <c:pivotFmt>
        <c:idx val="0"/>
        <c:marker>
          <c:symbol val="none"/>
        </c:marker>
      </c:pivotFmt>
      <c:pivotFmt>
        <c:idx val="1"/>
        <c:marker>
          <c:symbol val="none"/>
        </c:marker>
      </c:pivotFmt>
      <c:pivotFmt>
        <c:idx val="2"/>
        <c:marker>
          <c:symbol val="none"/>
        </c:marker>
        <c:dLbl>
          <c:idx val="0"/>
          <c:delete val="1"/>
        </c:dLbl>
      </c:pivotFmt>
      <c:pivotFmt>
        <c:idx val="3"/>
        <c:dLbl>
          <c:idx val="0"/>
          <c:layout>
            <c:manualLayout>
              <c:x val="-5.2562417871222077E-3"/>
              <c:y val="-0.38894715628158838"/>
            </c:manualLayout>
          </c:layout>
          <c:dLblPos val="ctr"/>
          <c:showLegendKey val="0"/>
          <c:showVal val="1"/>
          <c:showCatName val="0"/>
          <c:showSerName val="0"/>
          <c:showPercent val="0"/>
          <c:showBubbleSize val="0"/>
        </c:dLbl>
      </c:pivotFmt>
      <c:pivotFmt>
        <c:idx val="4"/>
        <c:dLbl>
          <c:idx val="0"/>
          <c:layout>
            <c:manualLayout>
              <c:x val="0"/>
              <c:y val="-0.15967862426113547"/>
            </c:manualLayout>
          </c:layout>
          <c:dLblPos val="ctr"/>
          <c:showLegendKey val="0"/>
          <c:showVal val="1"/>
          <c:showCatName val="0"/>
          <c:showSerName val="0"/>
          <c:showPercent val="0"/>
          <c:showBubbleSize val="0"/>
        </c:dLbl>
      </c:pivotFmt>
      <c:pivotFmt>
        <c:idx val="5"/>
        <c:dLbl>
          <c:idx val="0"/>
          <c:layout>
            <c:manualLayout>
              <c:x val="-1.7520805957074025E-3"/>
              <c:y val="-0.25175048378349296"/>
            </c:manualLayout>
          </c:layout>
          <c:dLblPos val="ctr"/>
          <c:showLegendKey val="0"/>
          <c:showVal val="1"/>
          <c:showCatName val="0"/>
          <c:showSerName val="0"/>
          <c:showPercent val="0"/>
          <c:showBubbleSize val="0"/>
        </c:dLbl>
      </c:pivotFmt>
      <c:pivotFmt>
        <c:idx val="6"/>
        <c:dLbl>
          <c:idx val="0"/>
          <c:layout>
            <c:manualLayout>
              <c:x val="0"/>
              <c:y val="-0.35355340822041537"/>
            </c:manualLayout>
          </c:layout>
          <c:dLblPos val="ctr"/>
          <c:showLegendKey val="0"/>
          <c:showVal val="1"/>
          <c:showCatName val="0"/>
          <c:showSerName val="0"/>
          <c:showPercent val="0"/>
          <c:showBubbleSize val="0"/>
        </c:dLbl>
      </c:pivotFmt>
    </c:pivotFmts>
    <c:plotArea>
      <c:layout>
        <c:manualLayout>
          <c:layoutTarget val="inner"/>
          <c:xMode val="edge"/>
          <c:yMode val="edge"/>
          <c:x val="1.401664476565922E-2"/>
          <c:y val="8.0401967632404731E-2"/>
          <c:w val="0.96145422689443716"/>
          <c:h val="0.75844800989302952"/>
        </c:manualLayout>
      </c:layout>
      <c:barChart>
        <c:barDir val="col"/>
        <c:grouping val="stacked"/>
        <c:varyColors val="0"/>
        <c:ser>
          <c:idx val="0"/>
          <c:order val="0"/>
          <c:tx>
            <c:strRef>
              <c:f>'Pivot Table'!$B$19</c:f>
              <c:strCache>
                <c:ptCount val="1"/>
                <c:pt idx="0">
                  <c:v>Total</c:v>
                </c:pt>
              </c:strCache>
            </c:strRef>
          </c:tx>
          <c:invertIfNegative val="0"/>
          <c:dLbls>
            <c:dLbl>
              <c:idx val="0"/>
              <c:layout>
                <c:manualLayout>
                  <c:x val="-5.2562417871222077E-3"/>
                  <c:y val="-0.38894715628158838"/>
                </c:manualLayout>
              </c:layout>
              <c:dLblPos val="ctr"/>
              <c:showLegendKey val="0"/>
              <c:showVal val="1"/>
              <c:showCatName val="0"/>
              <c:showSerName val="0"/>
              <c:showPercent val="0"/>
              <c:showBubbleSize val="0"/>
            </c:dLbl>
            <c:dLbl>
              <c:idx val="1"/>
              <c:layout>
                <c:manualLayout>
                  <c:x val="0"/>
                  <c:y val="-0.15967862426113547"/>
                </c:manualLayout>
              </c:layout>
              <c:dLblPos val="ctr"/>
              <c:showLegendKey val="0"/>
              <c:showVal val="1"/>
              <c:showCatName val="0"/>
              <c:showSerName val="0"/>
              <c:showPercent val="0"/>
              <c:showBubbleSize val="0"/>
            </c:dLbl>
            <c:dLbl>
              <c:idx val="2"/>
              <c:layout>
                <c:manualLayout>
                  <c:x val="-1.7520805957074025E-3"/>
                  <c:y val="-0.25175048378349296"/>
                </c:manualLayout>
              </c:layout>
              <c:dLblPos val="ctr"/>
              <c:showLegendKey val="0"/>
              <c:showVal val="1"/>
              <c:showCatName val="0"/>
              <c:showSerName val="0"/>
              <c:showPercent val="0"/>
              <c:showBubbleSize val="0"/>
            </c:dLbl>
            <c:dLbl>
              <c:idx val="3"/>
              <c:layout>
                <c:manualLayout>
                  <c:x val="0"/>
                  <c:y val="-0.35355340822041537"/>
                </c:manualLayout>
              </c:layout>
              <c:dLblPos val="ctr"/>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'Pivot Table'!$A$20:$A$24</c:f>
              <c:strCache>
                <c:ptCount val="4"/>
                <c:pt idx="0">
                  <c:v>East</c:v>
                </c:pt>
                <c:pt idx="1">
                  <c:v>North</c:v>
                </c:pt>
                <c:pt idx="2">
                  <c:v>South</c:v>
                </c:pt>
                <c:pt idx="3">
                  <c:v>West</c:v>
                </c:pt>
              </c:strCache>
            </c:strRef>
          </c:cat>
          <c:val>
            <c:numRef>
              <c:f>'Pivot Table'!$B$20:$B$24</c:f>
              <c:numCache>
                <c:formatCode>General</c:formatCode>
                <c:ptCount val="4"/>
                <c:pt idx="0">
                  <c:v>161320</c:v>
                </c:pt>
                <c:pt idx="1">
                  <c:v>54540</c:v>
                </c:pt>
                <c:pt idx="2">
                  <c:v>85430</c:v>
                </c:pt>
                <c:pt idx="3">
                  <c:v>139120</c:v>
                </c:pt>
              </c:numCache>
            </c:numRef>
          </c:val>
        </c:ser>
        <c:dLbls>
          <c:showLegendKey val="0"/>
          <c:showVal val="0"/>
          <c:showCatName val="0"/>
          <c:showSerName val="0"/>
          <c:showPercent val="0"/>
          <c:showBubbleSize val="0"/>
        </c:dLbls>
        <c:gapWidth val="150"/>
        <c:overlap val="100"/>
        <c:axId val="211366656"/>
        <c:axId val="211368192"/>
      </c:barChart>
      <c:catAx>
        <c:axId val="211366656"/>
        <c:scaling>
          <c:orientation val="minMax"/>
        </c:scaling>
        <c:delete val="0"/>
        <c:axPos val="b"/>
        <c:majorTickMark val="out"/>
        <c:minorTickMark val="none"/>
        <c:tickLblPos val="nextTo"/>
        <c:txPr>
          <a:bodyPr/>
          <a:lstStyle/>
          <a:p>
            <a:pPr>
              <a:defRPr sz="1100" b="1"/>
            </a:pPr>
            <a:endParaRPr lang="en-US"/>
          </a:p>
        </c:txPr>
        <c:crossAx val="211368192"/>
        <c:crosses val="autoZero"/>
        <c:auto val="1"/>
        <c:lblAlgn val="ctr"/>
        <c:lblOffset val="100"/>
        <c:noMultiLvlLbl val="0"/>
      </c:catAx>
      <c:valAx>
        <c:axId val="211368192"/>
        <c:scaling>
          <c:orientation val="minMax"/>
        </c:scaling>
        <c:delete val="1"/>
        <c:axPos val="l"/>
        <c:numFmt formatCode="General" sourceLinked="1"/>
        <c:majorTickMark val="out"/>
        <c:minorTickMark val="none"/>
        <c:tickLblPos val="nextTo"/>
        <c:crossAx val="211366656"/>
        <c:crosses val="autoZero"/>
        <c:crossBetween val="between"/>
      </c:valAx>
      <c:spPr>
        <a:noFill/>
        <a:ln w="25400">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Table!PivotTable4</c:name>
    <c:fmtId val="13"/>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pivotFmt>
      <c:pivotFmt>
        <c:idx val="2"/>
        <c:marker>
          <c:symbol val="none"/>
        </c:marker>
      </c:pivotFmt>
      <c:pivotFmt>
        <c:idx val="3"/>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Table'!$B$27</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Table'!$A$28:$A$34</c:f>
              <c:strCache>
                <c:ptCount val="6"/>
                <c:pt idx="0">
                  <c:v>Joystick</c:v>
                </c:pt>
                <c:pt idx="1">
                  <c:v>Keyboard</c:v>
                </c:pt>
                <c:pt idx="2">
                  <c:v>Moniter</c:v>
                </c:pt>
                <c:pt idx="3">
                  <c:v>Mouse</c:v>
                </c:pt>
                <c:pt idx="4">
                  <c:v>Printer</c:v>
                </c:pt>
                <c:pt idx="5">
                  <c:v>Scanner</c:v>
                </c:pt>
              </c:strCache>
            </c:strRef>
          </c:cat>
          <c:val>
            <c:numRef>
              <c:f>'Pivot Table'!$B$28:$B$34</c:f>
              <c:numCache>
                <c:formatCode>General</c:formatCode>
                <c:ptCount val="6"/>
                <c:pt idx="0">
                  <c:v>43940</c:v>
                </c:pt>
                <c:pt idx="1">
                  <c:v>66130</c:v>
                </c:pt>
                <c:pt idx="2">
                  <c:v>113320</c:v>
                </c:pt>
                <c:pt idx="3">
                  <c:v>115410</c:v>
                </c:pt>
                <c:pt idx="4">
                  <c:v>42860</c:v>
                </c:pt>
                <c:pt idx="5">
                  <c:v>58750</c:v>
                </c:pt>
              </c:numCache>
            </c:numRef>
          </c:val>
        </c:ser>
        <c:dLbls>
          <c:showLegendKey val="0"/>
          <c:showVal val="0"/>
          <c:showCatName val="0"/>
          <c:showSerName val="0"/>
          <c:showPercent val="0"/>
          <c:showBubbleSize val="0"/>
        </c:dLbls>
        <c:gapWidth val="150"/>
        <c:axId val="45999232"/>
        <c:axId val="46000768"/>
      </c:barChart>
      <c:catAx>
        <c:axId val="45999232"/>
        <c:scaling>
          <c:orientation val="minMax"/>
        </c:scaling>
        <c:delete val="0"/>
        <c:axPos val="l"/>
        <c:majorTickMark val="out"/>
        <c:minorTickMark val="none"/>
        <c:tickLblPos val="nextTo"/>
        <c:txPr>
          <a:bodyPr/>
          <a:lstStyle/>
          <a:p>
            <a:pPr>
              <a:defRPr sz="1100" b="1"/>
            </a:pPr>
            <a:endParaRPr lang="en-US"/>
          </a:p>
        </c:txPr>
        <c:crossAx val="46000768"/>
        <c:crosses val="autoZero"/>
        <c:auto val="1"/>
        <c:lblAlgn val="ctr"/>
        <c:lblOffset val="100"/>
        <c:noMultiLvlLbl val="0"/>
      </c:catAx>
      <c:valAx>
        <c:axId val="46000768"/>
        <c:scaling>
          <c:orientation val="minMax"/>
        </c:scaling>
        <c:delete val="1"/>
        <c:axPos val="b"/>
        <c:numFmt formatCode="General" sourceLinked="1"/>
        <c:majorTickMark val="out"/>
        <c:minorTickMark val="none"/>
        <c:tickLblPos val="nextTo"/>
        <c:crossAx val="4599923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Table!PivotTable2</c:name>
    <c:fmtId val="0"/>
  </c:pivotSource>
  <c:chart>
    <c:title>
      <c:layout/>
      <c:overlay val="0"/>
    </c:title>
    <c:autoTitleDeleted val="0"/>
    <c:pivotFmts>
      <c:pivotFmt>
        <c:idx val="0"/>
        <c:marker>
          <c:symbol val="none"/>
        </c:marker>
      </c:pivotFmt>
    </c:pivotFmts>
    <c:plotArea>
      <c:layout/>
      <c:lineChart>
        <c:grouping val="standard"/>
        <c:varyColors val="0"/>
        <c:ser>
          <c:idx val="0"/>
          <c:order val="0"/>
          <c:tx>
            <c:strRef>
              <c:f>'Pivot Table'!$B$2</c:f>
              <c:strCache>
                <c:ptCount val="1"/>
                <c:pt idx="0">
                  <c:v>Total</c:v>
                </c:pt>
              </c:strCache>
            </c:strRef>
          </c:tx>
          <c:marker>
            <c:symbol val="none"/>
          </c:marker>
          <c:cat>
            <c:strRef>
              <c:f>'Pivot Table'!$A$3:$A$15</c:f>
              <c:strCache>
                <c:ptCount val="12"/>
                <c:pt idx="0">
                  <c:v>Group1</c:v>
                </c:pt>
                <c:pt idx="1">
                  <c:v>Group2</c:v>
                </c:pt>
                <c:pt idx="2">
                  <c:v>Group3</c:v>
                </c:pt>
                <c:pt idx="3">
                  <c:v>Group4</c:v>
                </c:pt>
                <c:pt idx="4">
                  <c:v>Group5</c:v>
                </c:pt>
                <c:pt idx="5">
                  <c:v>Group6</c:v>
                </c:pt>
                <c:pt idx="6">
                  <c:v>Group7</c:v>
                </c:pt>
                <c:pt idx="7">
                  <c:v>Group8</c:v>
                </c:pt>
                <c:pt idx="8">
                  <c:v>Group9</c:v>
                </c:pt>
                <c:pt idx="9">
                  <c:v>Group10</c:v>
                </c:pt>
                <c:pt idx="10">
                  <c:v>Group11</c:v>
                </c:pt>
                <c:pt idx="11">
                  <c:v>Group12</c:v>
                </c:pt>
              </c:strCache>
            </c:strRef>
          </c:cat>
          <c:val>
            <c:numRef>
              <c:f>'Pivot Table'!$B$3:$B$15</c:f>
              <c:numCache>
                <c:formatCode>General</c:formatCode>
                <c:ptCount val="12"/>
                <c:pt idx="0">
                  <c:v>102360</c:v>
                </c:pt>
                <c:pt idx="1">
                  <c:v>43840</c:v>
                </c:pt>
                <c:pt idx="2">
                  <c:v>83890</c:v>
                </c:pt>
                <c:pt idx="3">
                  <c:v>29410</c:v>
                </c:pt>
                <c:pt idx="4">
                  <c:v>29260</c:v>
                </c:pt>
                <c:pt idx="5">
                  <c:v>18130</c:v>
                </c:pt>
                <c:pt idx="6">
                  <c:v>12270</c:v>
                </c:pt>
                <c:pt idx="7">
                  <c:v>10370</c:v>
                </c:pt>
                <c:pt idx="8">
                  <c:v>17150</c:v>
                </c:pt>
                <c:pt idx="9">
                  <c:v>24200</c:v>
                </c:pt>
                <c:pt idx="10">
                  <c:v>24390</c:v>
                </c:pt>
                <c:pt idx="11">
                  <c:v>45140</c:v>
                </c:pt>
              </c:numCache>
            </c:numRef>
          </c:val>
          <c:smooth val="0"/>
        </c:ser>
        <c:dLbls>
          <c:showLegendKey val="0"/>
          <c:showVal val="0"/>
          <c:showCatName val="0"/>
          <c:showSerName val="0"/>
          <c:showPercent val="0"/>
          <c:showBubbleSize val="0"/>
        </c:dLbls>
        <c:marker val="1"/>
        <c:smooth val="0"/>
        <c:axId val="211482496"/>
        <c:axId val="211484032"/>
      </c:lineChart>
      <c:catAx>
        <c:axId val="211482496"/>
        <c:scaling>
          <c:orientation val="minMax"/>
        </c:scaling>
        <c:delete val="0"/>
        <c:axPos val="b"/>
        <c:majorTickMark val="none"/>
        <c:minorTickMark val="none"/>
        <c:tickLblPos val="nextTo"/>
        <c:crossAx val="211484032"/>
        <c:crosses val="autoZero"/>
        <c:auto val="1"/>
        <c:lblAlgn val="ctr"/>
        <c:lblOffset val="100"/>
        <c:noMultiLvlLbl val="0"/>
      </c:catAx>
      <c:valAx>
        <c:axId val="211484032"/>
        <c:scaling>
          <c:orientation val="minMax"/>
        </c:scaling>
        <c:delete val="0"/>
        <c:axPos val="l"/>
        <c:numFmt formatCode="General" sourceLinked="1"/>
        <c:majorTickMark val="none"/>
        <c:minorTickMark val="none"/>
        <c:tickLblPos val="nextTo"/>
        <c:crossAx val="2114824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Table!PivotTable3</c:name>
    <c:fmtId val="3"/>
  </c:pivotSource>
  <c:chart>
    <c:autoTitleDeleted val="1"/>
    <c:pivotFmts>
      <c:pivotFmt>
        <c:idx val="0"/>
        <c:marker>
          <c:symbol val="none"/>
        </c:marker>
      </c:pivotFmt>
    </c:pivotFmts>
    <c:plotArea>
      <c:layout/>
      <c:barChart>
        <c:barDir val="col"/>
        <c:grouping val="stacked"/>
        <c:varyColors val="0"/>
        <c:ser>
          <c:idx val="0"/>
          <c:order val="0"/>
          <c:tx>
            <c:strRef>
              <c:f>'Pivot Table'!$B$19</c:f>
              <c:strCache>
                <c:ptCount val="1"/>
                <c:pt idx="0">
                  <c:v>Total</c:v>
                </c:pt>
              </c:strCache>
            </c:strRef>
          </c:tx>
          <c:invertIfNegative val="0"/>
          <c:cat>
            <c:strRef>
              <c:f>'Pivot Table'!$A$20:$A$24</c:f>
              <c:strCache>
                <c:ptCount val="4"/>
                <c:pt idx="0">
                  <c:v>East</c:v>
                </c:pt>
                <c:pt idx="1">
                  <c:v>North</c:v>
                </c:pt>
                <c:pt idx="2">
                  <c:v>South</c:v>
                </c:pt>
                <c:pt idx="3">
                  <c:v>West</c:v>
                </c:pt>
              </c:strCache>
            </c:strRef>
          </c:cat>
          <c:val>
            <c:numRef>
              <c:f>'Pivot Table'!$B$20:$B$24</c:f>
              <c:numCache>
                <c:formatCode>General</c:formatCode>
                <c:ptCount val="4"/>
                <c:pt idx="0">
                  <c:v>161320</c:v>
                </c:pt>
                <c:pt idx="1">
                  <c:v>54540</c:v>
                </c:pt>
                <c:pt idx="2">
                  <c:v>85430</c:v>
                </c:pt>
                <c:pt idx="3">
                  <c:v>139120</c:v>
                </c:pt>
              </c:numCache>
            </c:numRef>
          </c:val>
        </c:ser>
        <c:dLbls>
          <c:showLegendKey val="0"/>
          <c:showVal val="0"/>
          <c:showCatName val="0"/>
          <c:showSerName val="0"/>
          <c:showPercent val="0"/>
          <c:showBubbleSize val="0"/>
        </c:dLbls>
        <c:gapWidth val="150"/>
        <c:overlap val="100"/>
        <c:axId val="210078720"/>
        <c:axId val="211288832"/>
      </c:barChart>
      <c:catAx>
        <c:axId val="210078720"/>
        <c:scaling>
          <c:orientation val="minMax"/>
        </c:scaling>
        <c:delete val="0"/>
        <c:axPos val="b"/>
        <c:majorTickMark val="out"/>
        <c:minorTickMark val="none"/>
        <c:tickLblPos val="nextTo"/>
        <c:crossAx val="211288832"/>
        <c:crosses val="autoZero"/>
        <c:auto val="1"/>
        <c:lblAlgn val="ctr"/>
        <c:lblOffset val="100"/>
        <c:noMultiLvlLbl val="0"/>
      </c:catAx>
      <c:valAx>
        <c:axId val="211288832"/>
        <c:scaling>
          <c:orientation val="minMax"/>
        </c:scaling>
        <c:delete val="0"/>
        <c:axPos val="l"/>
        <c:numFmt formatCode="General" sourceLinked="1"/>
        <c:majorTickMark val="out"/>
        <c:minorTickMark val="none"/>
        <c:tickLblPos val="nextTo"/>
        <c:crossAx val="210078720"/>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Table!PivotTable4</c:name>
    <c:fmtId val="6"/>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pivotFmt>
    </c:pivotFmts>
    <c:plotArea>
      <c:layout/>
      <c:barChart>
        <c:barDir val="bar"/>
        <c:grouping val="clustered"/>
        <c:varyColors val="0"/>
        <c:ser>
          <c:idx val="0"/>
          <c:order val="0"/>
          <c:tx>
            <c:strRef>
              <c:f>'Pivot Table'!$B$27</c:f>
              <c:strCache>
                <c:ptCount val="1"/>
                <c:pt idx="0">
                  <c:v>Total</c:v>
                </c:pt>
              </c:strCache>
            </c:strRef>
          </c:tx>
          <c:invertIfNegative val="0"/>
          <c:cat>
            <c:strRef>
              <c:f>'Pivot Table'!$A$28:$A$34</c:f>
              <c:strCache>
                <c:ptCount val="6"/>
                <c:pt idx="0">
                  <c:v>Joystick</c:v>
                </c:pt>
                <c:pt idx="1">
                  <c:v>Keyboard</c:v>
                </c:pt>
                <c:pt idx="2">
                  <c:v>Moniter</c:v>
                </c:pt>
                <c:pt idx="3">
                  <c:v>Mouse</c:v>
                </c:pt>
                <c:pt idx="4">
                  <c:v>Printer</c:v>
                </c:pt>
                <c:pt idx="5">
                  <c:v>Scanner</c:v>
                </c:pt>
              </c:strCache>
            </c:strRef>
          </c:cat>
          <c:val>
            <c:numRef>
              <c:f>'Pivot Table'!$B$28:$B$34</c:f>
              <c:numCache>
                <c:formatCode>General</c:formatCode>
                <c:ptCount val="6"/>
                <c:pt idx="0">
                  <c:v>43940</c:v>
                </c:pt>
                <c:pt idx="1">
                  <c:v>66130</c:v>
                </c:pt>
                <c:pt idx="2">
                  <c:v>113320</c:v>
                </c:pt>
                <c:pt idx="3">
                  <c:v>115410</c:v>
                </c:pt>
                <c:pt idx="4">
                  <c:v>42860</c:v>
                </c:pt>
                <c:pt idx="5">
                  <c:v>58750</c:v>
                </c:pt>
              </c:numCache>
            </c:numRef>
          </c:val>
        </c:ser>
        <c:dLbls>
          <c:showLegendKey val="0"/>
          <c:showVal val="0"/>
          <c:showCatName val="0"/>
          <c:showSerName val="0"/>
          <c:showPercent val="0"/>
          <c:showBubbleSize val="0"/>
        </c:dLbls>
        <c:gapWidth val="150"/>
        <c:axId val="211329408"/>
        <c:axId val="211330944"/>
      </c:barChart>
      <c:catAx>
        <c:axId val="211329408"/>
        <c:scaling>
          <c:orientation val="minMax"/>
        </c:scaling>
        <c:delete val="0"/>
        <c:axPos val="l"/>
        <c:majorTickMark val="out"/>
        <c:minorTickMark val="none"/>
        <c:tickLblPos val="nextTo"/>
        <c:crossAx val="211330944"/>
        <c:crosses val="autoZero"/>
        <c:auto val="1"/>
        <c:lblAlgn val="ctr"/>
        <c:lblOffset val="100"/>
        <c:noMultiLvlLbl val="0"/>
      </c:catAx>
      <c:valAx>
        <c:axId val="211330944"/>
        <c:scaling>
          <c:orientation val="minMax"/>
        </c:scaling>
        <c:delete val="1"/>
        <c:axPos val="b"/>
        <c:numFmt formatCode="General" sourceLinked="1"/>
        <c:majorTickMark val="out"/>
        <c:minorTickMark val="none"/>
        <c:tickLblPos val="nextTo"/>
        <c:crossAx val="2113294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Table!PivotTable5</c:name>
    <c:fmtId val="14"/>
  </c:pivotSource>
  <c:chart>
    <c:autoTitleDeleted val="1"/>
    <c:pivotFmts>
      <c:pivotFmt>
        <c:idx val="0"/>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Table'!$B$36</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Table'!$A$37:$A$40</c:f>
              <c:strCache>
                <c:ptCount val="3"/>
                <c:pt idx="0">
                  <c:v>Keyboard</c:v>
                </c:pt>
                <c:pt idx="1">
                  <c:v>Moniter</c:v>
                </c:pt>
                <c:pt idx="2">
                  <c:v>Mouse</c:v>
                </c:pt>
              </c:strCache>
            </c:strRef>
          </c:cat>
          <c:val>
            <c:numRef>
              <c:f>'Pivot Table'!$B$37:$B$40</c:f>
              <c:numCache>
                <c:formatCode>General</c:formatCode>
                <c:ptCount val="3"/>
                <c:pt idx="0">
                  <c:v>66130</c:v>
                </c:pt>
                <c:pt idx="1">
                  <c:v>113320</c:v>
                </c:pt>
                <c:pt idx="2">
                  <c:v>115410</c:v>
                </c:pt>
              </c:numCache>
            </c:numRef>
          </c:val>
        </c:ser>
        <c:dLbls>
          <c:showLegendKey val="0"/>
          <c:showVal val="0"/>
          <c:showCatName val="0"/>
          <c:showSerName val="0"/>
          <c:showPercent val="0"/>
          <c:showBubbleSize val="0"/>
        </c:dLbls>
        <c:gapWidth val="150"/>
        <c:axId val="177595904"/>
        <c:axId val="177597440"/>
      </c:barChart>
      <c:catAx>
        <c:axId val="177595904"/>
        <c:scaling>
          <c:orientation val="minMax"/>
        </c:scaling>
        <c:delete val="0"/>
        <c:axPos val="l"/>
        <c:majorTickMark val="out"/>
        <c:minorTickMark val="none"/>
        <c:tickLblPos val="nextTo"/>
        <c:txPr>
          <a:bodyPr/>
          <a:lstStyle/>
          <a:p>
            <a:pPr>
              <a:defRPr sz="1100" b="1"/>
            </a:pPr>
            <a:endParaRPr lang="en-US"/>
          </a:p>
        </c:txPr>
        <c:crossAx val="177597440"/>
        <c:crosses val="autoZero"/>
        <c:auto val="1"/>
        <c:lblAlgn val="ctr"/>
        <c:lblOffset val="100"/>
        <c:noMultiLvlLbl val="0"/>
      </c:catAx>
      <c:valAx>
        <c:axId val="177597440"/>
        <c:scaling>
          <c:orientation val="minMax"/>
        </c:scaling>
        <c:delete val="1"/>
        <c:axPos val="b"/>
        <c:numFmt formatCode="General" sourceLinked="1"/>
        <c:majorTickMark val="out"/>
        <c:minorTickMark val="none"/>
        <c:tickLblPos val="nextTo"/>
        <c:crossAx val="17759590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Table!PivotTable6</c:name>
    <c:fmtId val="15"/>
  </c:pivotSource>
  <c:chart>
    <c:autoTitleDeleted val="1"/>
    <c:pivotFmts>
      <c:pivotFmt>
        <c:idx val="0"/>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Table'!$B$45</c:f>
              <c:strCache>
                <c:ptCount val="1"/>
                <c:pt idx="0">
                  <c:v>Total</c:v>
                </c:pt>
              </c:strCache>
            </c:strRef>
          </c:tx>
          <c:invertIfNegative val="0"/>
          <c:dLbls>
            <c:spPr/>
            <c:txPr>
              <a:bodyPr/>
              <a:lstStyle/>
              <a:p>
                <a:pPr>
                  <a:defRPr sz="1100" b="1"/>
                </a:pPr>
                <a:endParaRPr lang="en-US"/>
              </a:p>
            </c:txPr>
            <c:showLegendKey val="0"/>
            <c:showVal val="1"/>
            <c:showCatName val="0"/>
            <c:showSerName val="0"/>
            <c:showPercent val="0"/>
            <c:showBubbleSize val="0"/>
            <c:showLeaderLines val="0"/>
          </c:dLbls>
          <c:cat>
            <c:strRef>
              <c:f>'Pivot Table'!$A$46:$A$49</c:f>
              <c:strCache>
                <c:ptCount val="3"/>
                <c:pt idx="0">
                  <c:v>Joystick</c:v>
                </c:pt>
                <c:pt idx="1">
                  <c:v>Printer</c:v>
                </c:pt>
                <c:pt idx="2">
                  <c:v>Scanner</c:v>
                </c:pt>
              </c:strCache>
            </c:strRef>
          </c:cat>
          <c:val>
            <c:numRef>
              <c:f>'Pivot Table'!$B$46:$B$49</c:f>
              <c:numCache>
                <c:formatCode>General</c:formatCode>
                <c:ptCount val="3"/>
                <c:pt idx="0">
                  <c:v>43940</c:v>
                </c:pt>
                <c:pt idx="1">
                  <c:v>42860</c:v>
                </c:pt>
                <c:pt idx="2">
                  <c:v>58750</c:v>
                </c:pt>
              </c:numCache>
            </c:numRef>
          </c:val>
        </c:ser>
        <c:dLbls>
          <c:showLegendKey val="0"/>
          <c:showVal val="0"/>
          <c:showCatName val="0"/>
          <c:showSerName val="0"/>
          <c:showPercent val="0"/>
          <c:showBubbleSize val="0"/>
        </c:dLbls>
        <c:gapWidth val="150"/>
        <c:axId val="219109248"/>
        <c:axId val="219110784"/>
      </c:barChart>
      <c:catAx>
        <c:axId val="219109248"/>
        <c:scaling>
          <c:orientation val="minMax"/>
        </c:scaling>
        <c:delete val="0"/>
        <c:axPos val="l"/>
        <c:majorTickMark val="out"/>
        <c:minorTickMark val="none"/>
        <c:tickLblPos val="nextTo"/>
        <c:txPr>
          <a:bodyPr/>
          <a:lstStyle/>
          <a:p>
            <a:pPr>
              <a:defRPr sz="1100" b="1"/>
            </a:pPr>
            <a:endParaRPr lang="en-US"/>
          </a:p>
        </c:txPr>
        <c:crossAx val="219110784"/>
        <c:crosses val="autoZero"/>
        <c:auto val="1"/>
        <c:lblAlgn val="ctr"/>
        <c:lblOffset val="100"/>
        <c:noMultiLvlLbl val="0"/>
      </c:catAx>
      <c:valAx>
        <c:axId val="219110784"/>
        <c:scaling>
          <c:orientation val="minMax"/>
        </c:scaling>
        <c:delete val="1"/>
        <c:axPos val="b"/>
        <c:numFmt formatCode="General" sourceLinked="1"/>
        <c:majorTickMark val="out"/>
        <c:minorTickMark val="none"/>
        <c:tickLblPos val="nextTo"/>
        <c:crossAx val="21910924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Table!PivotTable7</c:name>
    <c:fmtId val="18"/>
  </c:pivotSource>
  <c:chart>
    <c:autoTitleDeleted val="1"/>
    <c:pivotFmts>
      <c:pivotFmt>
        <c:idx val="0"/>
        <c:marker>
          <c:symbol val="none"/>
        </c:marker>
      </c:pivotFmt>
    </c:pivotFmts>
    <c:plotArea>
      <c:layout/>
      <c:barChart>
        <c:barDir val="col"/>
        <c:grouping val="stacked"/>
        <c:varyColors val="0"/>
        <c:ser>
          <c:idx val="0"/>
          <c:order val="0"/>
          <c:tx>
            <c:strRef>
              <c:f>'Pivot Table'!$B$53</c:f>
              <c:strCache>
                <c:ptCount val="1"/>
                <c:pt idx="0">
                  <c:v>Total</c:v>
                </c:pt>
              </c:strCache>
            </c:strRef>
          </c:tx>
          <c:invertIfNegative val="0"/>
          <c:cat>
            <c:strRef>
              <c:f>'Pivot Table'!$A$54:$A$60</c:f>
              <c:strCache>
                <c:ptCount val="6"/>
                <c:pt idx="0">
                  <c:v>Joystick</c:v>
                </c:pt>
                <c:pt idx="1">
                  <c:v>Keyboard</c:v>
                </c:pt>
                <c:pt idx="2">
                  <c:v>Moniter</c:v>
                </c:pt>
                <c:pt idx="3">
                  <c:v>Mouse</c:v>
                </c:pt>
                <c:pt idx="4">
                  <c:v>Printer</c:v>
                </c:pt>
                <c:pt idx="5">
                  <c:v>Scanner</c:v>
                </c:pt>
              </c:strCache>
            </c:strRef>
          </c:cat>
          <c:val>
            <c:numRef>
              <c:f>'Pivot Table'!$B$54:$B$60</c:f>
              <c:numCache>
                <c:formatCode>General</c:formatCode>
                <c:ptCount val="6"/>
                <c:pt idx="0">
                  <c:v>43940</c:v>
                </c:pt>
                <c:pt idx="1">
                  <c:v>66130</c:v>
                </c:pt>
                <c:pt idx="2">
                  <c:v>113320</c:v>
                </c:pt>
                <c:pt idx="3">
                  <c:v>115410</c:v>
                </c:pt>
                <c:pt idx="4">
                  <c:v>42860</c:v>
                </c:pt>
                <c:pt idx="5">
                  <c:v>58750</c:v>
                </c:pt>
              </c:numCache>
            </c:numRef>
          </c:val>
        </c:ser>
        <c:dLbls>
          <c:showLegendKey val="0"/>
          <c:showVal val="0"/>
          <c:showCatName val="0"/>
          <c:showSerName val="0"/>
          <c:showPercent val="0"/>
          <c:showBubbleSize val="0"/>
        </c:dLbls>
        <c:gapWidth val="150"/>
        <c:overlap val="100"/>
        <c:axId val="44577536"/>
        <c:axId val="136092672"/>
      </c:barChart>
      <c:catAx>
        <c:axId val="44577536"/>
        <c:scaling>
          <c:orientation val="minMax"/>
        </c:scaling>
        <c:delete val="0"/>
        <c:axPos val="b"/>
        <c:majorTickMark val="out"/>
        <c:minorTickMark val="none"/>
        <c:tickLblPos val="nextTo"/>
        <c:crossAx val="136092672"/>
        <c:crosses val="autoZero"/>
        <c:auto val="1"/>
        <c:lblAlgn val="ctr"/>
        <c:lblOffset val="100"/>
        <c:noMultiLvlLbl val="0"/>
      </c:catAx>
      <c:valAx>
        <c:axId val="136092672"/>
        <c:scaling>
          <c:orientation val="minMax"/>
        </c:scaling>
        <c:delete val="0"/>
        <c:axPos val="l"/>
        <c:numFmt formatCode="General" sourceLinked="1"/>
        <c:majorTickMark val="out"/>
        <c:minorTickMark val="none"/>
        <c:tickLblPos val="nextTo"/>
        <c:crossAx val="44577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Table!PivotTable11</c:name>
    <c:fmtId val="22"/>
  </c:pivotSource>
  <c:chart>
    <c:autoTitleDeleted val="1"/>
    <c:pivotFmts>
      <c:pivotFmt>
        <c:idx val="0"/>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0.41291810841983834"/>
              <c:y val="-4.6538676755177094E-3"/>
            </c:manualLayout>
          </c:layout>
          <c:showLegendKey val="0"/>
          <c:showVal val="1"/>
          <c:showCatName val="0"/>
          <c:showSerName val="0"/>
          <c:showPercent val="0"/>
          <c:showBubbleSize val="0"/>
        </c:dLbl>
      </c:pivotFmt>
      <c:pivotFmt>
        <c:idx val="2"/>
        <c:dLbl>
          <c:idx val="0"/>
          <c:layout>
            <c:manualLayout>
              <c:x val="0.35986159169550175"/>
              <c:y val="0"/>
            </c:manualLayout>
          </c:layout>
          <c:showLegendKey val="0"/>
          <c:showVal val="1"/>
          <c:showCatName val="0"/>
          <c:showSerName val="0"/>
          <c:showPercent val="0"/>
          <c:showBubbleSize val="0"/>
        </c:dLbl>
      </c:pivotFmt>
      <c:pivotFmt>
        <c:idx val="3"/>
        <c:dLbl>
          <c:idx val="0"/>
          <c:layout>
            <c:manualLayout>
              <c:x val="0.31141868512110726"/>
              <c:y val="-4.6538676755176877E-3"/>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'Pivot Table'!$B$62</c:f>
              <c:strCache>
                <c:ptCount val="1"/>
                <c:pt idx="0">
                  <c:v>Total</c:v>
                </c:pt>
              </c:strCache>
            </c:strRef>
          </c:tx>
          <c:invertIfNegative val="0"/>
          <c:dLbls>
            <c:dLbl>
              <c:idx val="0"/>
              <c:layout>
                <c:manualLayout>
                  <c:x val="0.31141868512110726"/>
                  <c:y val="-4.6538676755176877E-3"/>
                </c:manualLayout>
              </c:layout>
              <c:showLegendKey val="0"/>
              <c:showVal val="1"/>
              <c:showCatName val="0"/>
              <c:showSerName val="0"/>
              <c:showPercent val="0"/>
              <c:showBubbleSize val="0"/>
            </c:dLbl>
            <c:dLbl>
              <c:idx val="1"/>
              <c:layout>
                <c:manualLayout>
                  <c:x val="0.35986159169550175"/>
                  <c:y val="0"/>
                </c:manualLayout>
              </c:layout>
              <c:showLegendKey val="0"/>
              <c:showVal val="1"/>
              <c:showCatName val="0"/>
              <c:showSerName val="0"/>
              <c:showPercent val="0"/>
              <c:showBubbleSize val="0"/>
            </c:dLbl>
            <c:dLbl>
              <c:idx val="2"/>
              <c:layout>
                <c:manualLayout>
                  <c:x val="0.41291810841983834"/>
                  <c:y val="-4.6538676755177094E-3"/>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Table'!$A$63:$A$66</c:f>
              <c:strCache>
                <c:ptCount val="3"/>
                <c:pt idx="0">
                  <c:v>Amit</c:v>
                </c:pt>
                <c:pt idx="1">
                  <c:v>Ramesh</c:v>
                </c:pt>
                <c:pt idx="2">
                  <c:v>Rohit Das</c:v>
                </c:pt>
              </c:strCache>
            </c:strRef>
          </c:cat>
          <c:val>
            <c:numRef>
              <c:f>'Pivot Table'!$B$63:$B$66</c:f>
              <c:numCache>
                <c:formatCode>General</c:formatCode>
                <c:ptCount val="3"/>
                <c:pt idx="0">
                  <c:v>78</c:v>
                </c:pt>
                <c:pt idx="1">
                  <c:v>90</c:v>
                </c:pt>
                <c:pt idx="2">
                  <c:v>105</c:v>
                </c:pt>
              </c:numCache>
            </c:numRef>
          </c:val>
        </c:ser>
        <c:dLbls>
          <c:showLegendKey val="0"/>
          <c:showVal val="0"/>
          <c:showCatName val="0"/>
          <c:showSerName val="0"/>
          <c:showPercent val="0"/>
          <c:showBubbleSize val="0"/>
        </c:dLbls>
        <c:gapWidth val="150"/>
        <c:overlap val="100"/>
        <c:axId val="219293184"/>
        <c:axId val="219295104"/>
      </c:barChart>
      <c:catAx>
        <c:axId val="219293184"/>
        <c:scaling>
          <c:orientation val="minMax"/>
        </c:scaling>
        <c:delete val="0"/>
        <c:axPos val="l"/>
        <c:majorTickMark val="out"/>
        <c:minorTickMark val="none"/>
        <c:tickLblPos val="nextTo"/>
        <c:txPr>
          <a:bodyPr/>
          <a:lstStyle/>
          <a:p>
            <a:pPr>
              <a:defRPr sz="1100" b="1"/>
            </a:pPr>
            <a:endParaRPr lang="en-US"/>
          </a:p>
        </c:txPr>
        <c:crossAx val="219295104"/>
        <c:crosses val="autoZero"/>
        <c:auto val="1"/>
        <c:lblAlgn val="ctr"/>
        <c:lblOffset val="100"/>
        <c:noMultiLvlLbl val="0"/>
      </c:catAx>
      <c:valAx>
        <c:axId val="219295104"/>
        <c:scaling>
          <c:orientation val="minMax"/>
        </c:scaling>
        <c:delete val="1"/>
        <c:axPos val="b"/>
        <c:numFmt formatCode="General" sourceLinked="1"/>
        <c:majorTickMark val="out"/>
        <c:minorTickMark val="none"/>
        <c:tickLblPos val="nextTo"/>
        <c:crossAx val="219293184"/>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Table!PivotTable12</c:name>
    <c:fmtId val="23"/>
  </c:pivotSource>
  <c:chart>
    <c:autoTitleDeleted val="1"/>
    <c:pivotFmts>
      <c:pivotFmt>
        <c:idx val="0"/>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0.31388888888888888"/>
              <c:y val="-9.2592592592592587E-3"/>
            </c:manualLayout>
          </c:layout>
          <c:showLegendKey val="0"/>
          <c:showVal val="1"/>
          <c:showCatName val="0"/>
          <c:showSerName val="0"/>
          <c:showPercent val="0"/>
          <c:showBubbleSize val="0"/>
        </c:dLbl>
      </c:pivotFmt>
      <c:pivotFmt>
        <c:idx val="2"/>
        <c:dLbl>
          <c:idx val="0"/>
          <c:layout>
            <c:manualLayout>
              <c:x val="0.4"/>
              <c:y val="0"/>
            </c:manualLayout>
          </c:layout>
          <c:showLegendKey val="0"/>
          <c:showVal val="1"/>
          <c:showCatName val="0"/>
          <c:showSerName val="0"/>
          <c:showPercent val="0"/>
          <c:showBubbleSize val="0"/>
        </c:dLbl>
      </c:pivotFmt>
      <c:pivotFmt>
        <c:idx val="3"/>
        <c:dLbl>
          <c:idx val="0"/>
          <c:layout>
            <c:manualLayout>
              <c:x val="0.36944444444444446"/>
              <c:y val="0"/>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'Pivot Table'!$B$69</c:f>
              <c:strCache>
                <c:ptCount val="1"/>
                <c:pt idx="0">
                  <c:v>Total</c:v>
                </c:pt>
              </c:strCache>
            </c:strRef>
          </c:tx>
          <c:invertIfNegative val="0"/>
          <c:dLbls>
            <c:dLbl>
              <c:idx val="0"/>
              <c:layout>
                <c:manualLayout>
                  <c:x val="0.36944444444444446"/>
                  <c:y val="0"/>
                </c:manualLayout>
              </c:layout>
              <c:showLegendKey val="0"/>
              <c:showVal val="1"/>
              <c:showCatName val="0"/>
              <c:showSerName val="0"/>
              <c:showPercent val="0"/>
              <c:showBubbleSize val="0"/>
            </c:dLbl>
            <c:dLbl>
              <c:idx val="1"/>
              <c:layout>
                <c:manualLayout>
                  <c:x val="0.4"/>
                  <c:y val="0"/>
                </c:manualLayout>
              </c:layout>
              <c:showLegendKey val="0"/>
              <c:showVal val="1"/>
              <c:showCatName val="0"/>
              <c:showSerName val="0"/>
              <c:showPercent val="0"/>
              <c:showBubbleSize val="0"/>
            </c:dLbl>
            <c:dLbl>
              <c:idx val="2"/>
              <c:layout>
                <c:manualLayout>
                  <c:x val="0.31388888888888888"/>
                  <c:y val="-9.2592592592592587E-3"/>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Table'!$A$70:$A$73</c:f>
              <c:strCache>
                <c:ptCount val="3"/>
                <c:pt idx="0">
                  <c:v>Ajit Kumar</c:v>
                </c:pt>
                <c:pt idx="1">
                  <c:v>Chandu</c:v>
                </c:pt>
                <c:pt idx="2">
                  <c:v>Sidhu</c:v>
                </c:pt>
              </c:strCache>
            </c:strRef>
          </c:cat>
          <c:val>
            <c:numRef>
              <c:f>'Pivot Table'!$B$70:$B$73</c:f>
              <c:numCache>
                <c:formatCode>General</c:formatCode>
                <c:ptCount val="3"/>
                <c:pt idx="0">
                  <c:v>66</c:v>
                </c:pt>
                <c:pt idx="1">
                  <c:v>72</c:v>
                </c:pt>
                <c:pt idx="2">
                  <c:v>56</c:v>
                </c:pt>
              </c:numCache>
            </c:numRef>
          </c:val>
        </c:ser>
        <c:dLbls>
          <c:showLegendKey val="0"/>
          <c:showVal val="0"/>
          <c:showCatName val="0"/>
          <c:showSerName val="0"/>
          <c:showPercent val="0"/>
          <c:showBubbleSize val="0"/>
        </c:dLbls>
        <c:gapWidth val="150"/>
        <c:overlap val="100"/>
        <c:axId val="216153472"/>
        <c:axId val="216409216"/>
      </c:barChart>
      <c:catAx>
        <c:axId val="216153472"/>
        <c:scaling>
          <c:orientation val="minMax"/>
        </c:scaling>
        <c:delete val="0"/>
        <c:axPos val="l"/>
        <c:majorTickMark val="out"/>
        <c:minorTickMark val="none"/>
        <c:tickLblPos val="nextTo"/>
        <c:txPr>
          <a:bodyPr/>
          <a:lstStyle/>
          <a:p>
            <a:pPr>
              <a:defRPr sz="1100" b="1"/>
            </a:pPr>
            <a:endParaRPr lang="en-US"/>
          </a:p>
        </c:txPr>
        <c:crossAx val="216409216"/>
        <c:crosses val="autoZero"/>
        <c:auto val="1"/>
        <c:lblAlgn val="ctr"/>
        <c:lblOffset val="100"/>
        <c:noMultiLvlLbl val="0"/>
      </c:catAx>
      <c:valAx>
        <c:axId val="216409216"/>
        <c:scaling>
          <c:orientation val="minMax"/>
        </c:scaling>
        <c:delete val="1"/>
        <c:axPos val="b"/>
        <c:numFmt formatCode="General" sourceLinked="1"/>
        <c:majorTickMark val="out"/>
        <c:minorTickMark val="none"/>
        <c:tickLblPos val="nextTo"/>
        <c:crossAx val="21615347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[Madalash Enterprises data.xlsx]Pivot Table!PivotTable13</c:name>
    <c:fmtId val="24"/>
  </c:pivotSource>
  <c:chart>
    <c:autoTitleDeleted val="1"/>
    <c:pivotFmts>
      <c:pivotFmt>
        <c:idx val="0"/>
        <c:marker>
          <c:symbol val="none"/>
        </c:marker>
        <c:dLbl>
          <c:idx val="0"/>
          <c:layout/>
          <c:spPr/>
          <c:txPr>
            <a:bodyPr/>
            <a:lstStyle/>
            <a:p>
              <a:pPr>
                <a:defRPr sz="1100" b="1"/>
              </a:pPr>
              <a:endParaRPr lang="en-US"/>
            </a:p>
          </c:txPr>
          <c:showLegendKey val="0"/>
          <c:showVal val="1"/>
          <c:showCatName val="0"/>
          <c:showSerName val="0"/>
          <c:showPercent val="0"/>
          <c:showBubbleSize val="0"/>
        </c:dLbl>
      </c:pivotFmt>
      <c:pivotFmt>
        <c:idx val="1"/>
        <c:dLbl>
          <c:idx val="0"/>
          <c:layout>
            <c:manualLayout>
              <c:x val="-2.7777777777777523E-3"/>
              <c:y val="-0.41666666666666663"/>
            </c:manualLayout>
          </c:layout>
          <c:showLegendKey val="0"/>
          <c:showVal val="1"/>
          <c:showCatName val="0"/>
          <c:showSerName val="0"/>
          <c:showPercent val="0"/>
          <c:showBubbleSize val="0"/>
        </c:dLbl>
      </c:pivotFmt>
      <c:pivotFmt>
        <c:idx val="2"/>
        <c:dLbl>
          <c:idx val="0"/>
          <c:layout>
            <c:manualLayout>
              <c:x val="-2.7777777777777267E-3"/>
              <c:y val="-0.18055555555555555"/>
            </c:manualLayout>
          </c:layout>
          <c:showLegendKey val="0"/>
          <c:showVal val="1"/>
          <c:showCatName val="0"/>
          <c:showSerName val="0"/>
          <c:showPercent val="0"/>
          <c:showBubbleSize val="0"/>
        </c:dLbl>
      </c:pivotFmt>
      <c:pivotFmt>
        <c:idx val="3"/>
        <c:dLbl>
          <c:idx val="0"/>
          <c:layout>
            <c:manualLayout>
              <c:x val="-2.7777777777777779E-3"/>
              <c:y val="-0.34722222222222221"/>
            </c:manualLayout>
          </c:layout>
          <c:showLegendKey val="0"/>
          <c:showVal val="1"/>
          <c:showCatName val="0"/>
          <c:showSerName val="0"/>
          <c:showPercent val="0"/>
          <c:showBubbleSize val="0"/>
        </c:dLbl>
      </c:pivotFmt>
      <c:pivotFmt>
        <c:idx val="4"/>
        <c:dLbl>
          <c:idx val="0"/>
          <c:layout>
            <c:manualLayout>
              <c:x val="0"/>
              <c:y val="-0.32407407407407407"/>
            </c:manualLayout>
          </c:layout>
          <c:showLegendKey val="0"/>
          <c:showVal val="1"/>
          <c:showCatName val="0"/>
          <c:showSerName val="0"/>
          <c:showPercent val="0"/>
          <c:showBubbleSize val="0"/>
        </c:dLbl>
      </c:pivotFmt>
      <c:pivotFmt>
        <c:idx val="5"/>
        <c:dLbl>
          <c:idx val="0"/>
          <c:layout>
            <c:manualLayout>
              <c:x val="-5.5555555555555558E-3"/>
              <c:y val="-6.4814814814814811E-2"/>
            </c:manualLayout>
          </c:layout>
          <c:showLegendKey val="0"/>
          <c:showVal val="1"/>
          <c:showCatName val="0"/>
          <c:showSerName val="0"/>
          <c:showPercent val="0"/>
          <c:showBubbleSize val="0"/>
        </c:dLbl>
      </c:pivotFmt>
      <c:pivotFmt>
        <c:idx val="6"/>
        <c:dLbl>
          <c:idx val="0"/>
          <c:layout>
            <c:manualLayout>
              <c:x val="0"/>
              <c:y val="-6.9444444444444364E-2"/>
            </c:manualLayout>
          </c:layout>
          <c:showLegendKey val="0"/>
          <c:showVal val="1"/>
          <c:showCatName val="0"/>
          <c:showSerName val="0"/>
          <c:showPercent val="0"/>
          <c:showBubbleSize val="0"/>
        </c:dLbl>
      </c:pivotFmt>
    </c:pivotFmts>
    <c:plotArea>
      <c:layout>
        <c:manualLayout>
          <c:layoutTarget val="inner"/>
          <c:xMode val="edge"/>
          <c:yMode val="edge"/>
          <c:x val="3.0555555555555555E-2"/>
          <c:y val="5.0925925925925923E-2"/>
          <c:w val="0.93888888888888888"/>
          <c:h val="0.83309419655876349"/>
        </c:manualLayout>
      </c:layout>
      <c:barChart>
        <c:barDir val="col"/>
        <c:grouping val="stacked"/>
        <c:varyColors val="0"/>
        <c:ser>
          <c:idx val="0"/>
          <c:order val="0"/>
          <c:tx>
            <c:strRef>
              <c:f>'Pivot Table'!$B$76</c:f>
              <c:strCache>
                <c:ptCount val="1"/>
                <c:pt idx="0">
                  <c:v>Total</c:v>
                </c:pt>
              </c:strCache>
            </c:strRef>
          </c:tx>
          <c:invertIfNegative val="0"/>
          <c:dLbls>
            <c:dLbl>
              <c:idx val="0"/>
              <c:layout>
                <c:manualLayout>
                  <c:x val="0"/>
                  <c:y val="-6.9444444444444364E-2"/>
                </c:manualLayout>
              </c:layout>
              <c:showLegendKey val="0"/>
              <c:showVal val="1"/>
              <c:showCatName val="0"/>
              <c:showSerName val="0"/>
              <c:showPercent val="0"/>
              <c:showBubbleSize val="0"/>
            </c:dLbl>
            <c:dLbl>
              <c:idx val="1"/>
              <c:layout>
                <c:manualLayout>
                  <c:x val="-2.7777777777777523E-3"/>
                  <c:y val="-0.41666666666666663"/>
                </c:manualLayout>
              </c:layout>
              <c:showLegendKey val="0"/>
              <c:showVal val="1"/>
              <c:showCatName val="0"/>
              <c:showSerName val="0"/>
              <c:showPercent val="0"/>
              <c:showBubbleSize val="0"/>
            </c:dLbl>
            <c:dLbl>
              <c:idx val="2"/>
              <c:layout>
                <c:manualLayout>
                  <c:x val="-2.7777777777777267E-3"/>
                  <c:y val="-0.18055555555555555"/>
                </c:manualLayout>
              </c:layout>
              <c:showLegendKey val="0"/>
              <c:showVal val="1"/>
              <c:showCatName val="0"/>
              <c:showSerName val="0"/>
              <c:showPercent val="0"/>
              <c:showBubbleSize val="0"/>
            </c:dLbl>
            <c:dLbl>
              <c:idx val="3"/>
              <c:layout>
                <c:manualLayout>
                  <c:x val="-2.7777777777777779E-3"/>
                  <c:y val="-0.34722222222222221"/>
                </c:manualLayout>
              </c:layout>
              <c:showLegendKey val="0"/>
              <c:showVal val="1"/>
              <c:showCatName val="0"/>
              <c:showSerName val="0"/>
              <c:showPercent val="0"/>
              <c:showBubbleSize val="0"/>
            </c:dLbl>
            <c:dLbl>
              <c:idx val="4"/>
              <c:layout>
                <c:manualLayout>
                  <c:x val="0"/>
                  <c:y val="-0.32407407407407407"/>
                </c:manualLayout>
              </c:layout>
              <c:showLegendKey val="0"/>
              <c:showVal val="1"/>
              <c:showCatName val="0"/>
              <c:showSerName val="0"/>
              <c:showPercent val="0"/>
              <c:showBubbleSize val="0"/>
            </c:dLbl>
            <c:dLbl>
              <c:idx val="5"/>
              <c:layout>
                <c:manualLayout>
                  <c:x val="-5.5555555555555558E-3"/>
                  <c:y val="-6.4814814814814811E-2"/>
                </c:manualLayout>
              </c:layout>
              <c:showLegendKey val="0"/>
              <c:showVal val="1"/>
              <c:showCatName val="0"/>
              <c:showSerName val="0"/>
              <c:showPercent val="0"/>
              <c:showBubbleSize val="0"/>
            </c:dLbl>
            <c:spPr/>
            <c:txPr>
              <a:bodyPr/>
              <a:lstStyle/>
              <a:p>
                <a:pPr>
                  <a:defRPr sz="1100" b="1"/>
                </a:pPr>
                <a:endParaRPr lang="en-US"/>
              </a:p>
            </c:txPr>
            <c:showLegendKey val="0"/>
            <c:showVal val="1"/>
            <c:showCatName val="0"/>
            <c:showSerName val="0"/>
            <c:showPercent val="0"/>
            <c:showBubbleSize val="0"/>
            <c:showLeaderLines val="0"/>
          </c:dLbls>
          <c:cat>
            <c:strRef>
              <c:f>'Pivot Table'!$A$77:$A$83</c:f>
              <c:strCache>
                <c:ptCount val="6"/>
                <c:pt idx="0">
                  <c:v>Ajit Kumar</c:v>
                </c:pt>
                <c:pt idx="1">
                  <c:v>Amit</c:v>
                </c:pt>
                <c:pt idx="2">
                  <c:v>Chandu</c:v>
                </c:pt>
                <c:pt idx="3">
                  <c:v>Ramesh</c:v>
                </c:pt>
                <c:pt idx="4">
                  <c:v>Rohit Das</c:v>
                </c:pt>
                <c:pt idx="5">
                  <c:v>Sidhu</c:v>
                </c:pt>
              </c:strCache>
            </c:strRef>
          </c:cat>
          <c:val>
            <c:numRef>
              <c:f>'Pivot Table'!$B$77:$B$83</c:f>
              <c:numCache>
                <c:formatCode>General</c:formatCode>
                <c:ptCount val="6"/>
                <c:pt idx="0">
                  <c:v>13660</c:v>
                </c:pt>
                <c:pt idx="1">
                  <c:v>140400</c:v>
                </c:pt>
                <c:pt idx="2">
                  <c:v>50400</c:v>
                </c:pt>
                <c:pt idx="3">
                  <c:v>114820</c:v>
                </c:pt>
                <c:pt idx="4">
                  <c:v>109170</c:v>
                </c:pt>
                <c:pt idx="5">
                  <c:v>11960</c:v>
                </c:pt>
              </c:numCache>
            </c:numRef>
          </c:val>
        </c:ser>
        <c:dLbls>
          <c:showLegendKey val="0"/>
          <c:showVal val="0"/>
          <c:showCatName val="0"/>
          <c:showSerName val="0"/>
          <c:showPercent val="0"/>
          <c:showBubbleSize val="0"/>
        </c:dLbls>
        <c:gapWidth val="150"/>
        <c:overlap val="100"/>
        <c:axId val="219053440"/>
        <c:axId val="219067520"/>
      </c:barChart>
      <c:catAx>
        <c:axId val="219053440"/>
        <c:scaling>
          <c:orientation val="minMax"/>
        </c:scaling>
        <c:delete val="0"/>
        <c:axPos val="b"/>
        <c:majorTickMark val="out"/>
        <c:minorTickMark val="none"/>
        <c:tickLblPos val="nextTo"/>
        <c:txPr>
          <a:bodyPr/>
          <a:lstStyle/>
          <a:p>
            <a:pPr>
              <a:defRPr sz="1100" b="1"/>
            </a:pPr>
            <a:endParaRPr lang="en-US"/>
          </a:p>
        </c:txPr>
        <c:crossAx val="219067520"/>
        <c:crosses val="autoZero"/>
        <c:auto val="1"/>
        <c:lblAlgn val="ctr"/>
        <c:lblOffset val="100"/>
        <c:noMultiLvlLbl val="0"/>
      </c:catAx>
      <c:valAx>
        <c:axId val="219067520"/>
        <c:scaling>
          <c:orientation val="minMax"/>
        </c:scaling>
        <c:delete val="1"/>
        <c:axPos val="l"/>
        <c:numFmt formatCode="General" sourceLinked="1"/>
        <c:majorTickMark val="out"/>
        <c:minorTickMark val="none"/>
        <c:tickLblPos val="nextTo"/>
        <c:crossAx val="21905344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7" Type="http://schemas.openxmlformats.org/officeDocument/2006/relationships/image" Target="../media/image3.jpg"/><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jp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products!A1"/><Relationship Id="rId7"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image" Target="../media/image4.jpeg"/><Relationship Id="rId6" Type="http://schemas.openxmlformats.org/officeDocument/2006/relationships/chart" Target="../charts/chart1.xml"/><Relationship Id="rId5" Type="http://schemas.openxmlformats.org/officeDocument/2006/relationships/hyperlink" Target="#About!A1"/><Relationship Id="rId4" Type="http://schemas.openxmlformats.org/officeDocument/2006/relationships/hyperlink" Target="#Salesman!A1"/><Relationship Id="rId9" Type="http://schemas.openxmlformats.org/officeDocument/2006/relationships/image" Target="../media/image5.jpg"/></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products!A1"/><Relationship Id="rId7" Type="http://schemas.openxmlformats.org/officeDocument/2006/relationships/chart" Target="../charts/chart5.xml"/><Relationship Id="rId2" Type="http://schemas.openxmlformats.org/officeDocument/2006/relationships/hyperlink" Target="#Dashboard!A1"/><Relationship Id="rId1" Type="http://schemas.openxmlformats.org/officeDocument/2006/relationships/image" Target="../media/image4.jpeg"/><Relationship Id="rId6" Type="http://schemas.openxmlformats.org/officeDocument/2006/relationships/chart" Target="../charts/chart4.xml"/><Relationship Id="rId5" Type="http://schemas.openxmlformats.org/officeDocument/2006/relationships/hyperlink" Target="#About!A1"/><Relationship Id="rId10" Type="http://schemas.openxmlformats.org/officeDocument/2006/relationships/image" Target="../media/image5.jpg"/><Relationship Id="rId4" Type="http://schemas.openxmlformats.org/officeDocument/2006/relationships/hyperlink" Target="#Salesman!A1"/><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6.jpg"/><Relationship Id="rId7" Type="http://schemas.openxmlformats.org/officeDocument/2006/relationships/chart" Target="../charts/chart7.xml"/><Relationship Id="rId2" Type="http://schemas.openxmlformats.org/officeDocument/2006/relationships/hyperlink" Target="#Dashboard!A1"/><Relationship Id="rId1" Type="http://schemas.openxmlformats.org/officeDocument/2006/relationships/image" Target="../media/image4.jpeg"/><Relationship Id="rId6" Type="http://schemas.openxmlformats.org/officeDocument/2006/relationships/hyperlink" Target="#About!A1"/><Relationship Id="rId5" Type="http://schemas.openxmlformats.org/officeDocument/2006/relationships/hyperlink" Target="#Salesman!A1"/><Relationship Id="rId10" Type="http://schemas.openxmlformats.org/officeDocument/2006/relationships/image" Target="../media/image5.jpg"/><Relationship Id="rId4" Type="http://schemas.openxmlformats.org/officeDocument/2006/relationships/hyperlink" Target="#products!A1"/><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104776</xdr:colOff>
      <xdr:row>1</xdr:row>
      <xdr:rowOff>123825</xdr:rowOff>
    </xdr:from>
    <xdr:to>
      <xdr:col>26</xdr:col>
      <xdr:colOff>104776</xdr:colOff>
      <xdr:row>40</xdr:row>
      <xdr:rowOff>104775</xdr:rowOff>
    </xdr:to>
    <xdr:sp macro="" textlink="">
      <xdr:nvSpPr>
        <xdr:cNvPr id="2" name="Rounded Rectangle 1"/>
        <xdr:cNvSpPr/>
      </xdr:nvSpPr>
      <xdr:spPr>
        <a:xfrm>
          <a:off x="590551" y="314325"/>
          <a:ext cx="15154275" cy="7410450"/>
        </a:xfrm>
        <a:prstGeom prst="roundRect">
          <a:avLst>
            <a:gd name="adj" fmla="val 32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581025</xdr:colOff>
      <xdr:row>1</xdr:row>
      <xdr:rowOff>123825</xdr:rowOff>
    </xdr:from>
    <xdr:to>
      <xdr:col>28</xdr:col>
      <xdr:colOff>457200</xdr:colOff>
      <xdr:row>40</xdr:row>
      <xdr:rowOff>104775</xdr:rowOff>
    </xdr:to>
    <xdr:sp macro="" textlink="">
      <xdr:nvSpPr>
        <xdr:cNvPr id="3" name="Rounded Rectangle 2"/>
        <xdr:cNvSpPr/>
      </xdr:nvSpPr>
      <xdr:spPr>
        <a:xfrm>
          <a:off x="2200275" y="314325"/>
          <a:ext cx="15116175" cy="7410450"/>
        </a:xfrm>
        <a:prstGeom prst="roundRect">
          <a:avLst>
            <a:gd name="adj" fmla="val 3299"/>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oneCellAnchor>
    <xdr:from>
      <xdr:col>5</xdr:col>
      <xdr:colOff>123825</xdr:colOff>
      <xdr:row>4</xdr:row>
      <xdr:rowOff>47625</xdr:rowOff>
    </xdr:from>
    <xdr:ext cx="184731" cy="264560"/>
    <xdr:sp macro="" textlink="">
      <xdr:nvSpPr>
        <xdr:cNvPr id="5" name="TextBox 4"/>
        <xdr:cNvSpPr txBox="1"/>
      </xdr:nvSpPr>
      <xdr:spPr>
        <a:xfrm>
          <a:off x="2962275"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200025</xdr:colOff>
      <xdr:row>14</xdr:row>
      <xdr:rowOff>76200</xdr:rowOff>
    </xdr:from>
    <xdr:ext cx="1419225" cy="428625"/>
    <xdr:sp macro="" textlink="">
      <xdr:nvSpPr>
        <xdr:cNvPr id="6" name="TextBox 5">
          <a:hlinkClick xmlns:r="http://schemas.openxmlformats.org/officeDocument/2006/relationships" r:id="rId1"/>
        </xdr:cNvPr>
        <xdr:cNvSpPr txBox="1"/>
      </xdr:nvSpPr>
      <xdr:spPr>
        <a:xfrm>
          <a:off x="685800" y="2743200"/>
          <a:ext cx="1419225" cy="428625"/>
        </a:xfrm>
        <a:prstGeom prst="round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Dashboard</a:t>
          </a:r>
        </a:p>
      </xdr:txBody>
    </xdr:sp>
    <xdr:clientData/>
  </xdr:oneCellAnchor>
  <xdr:twoCellAnchor>
    <xdr:from>
      <xdr:col>4</xdr:col>
      <xdr:colOff>117474</xdr:colOff>
      <xdr:row>15</xdr:row>
      <xdr:rowOff>31750</xdr:rowOff>
    </xdr:from>
    <xdr:to>
      <xdr:col>28</xdr:col>
      <xdr:colOff>361950</xdr:colOff>
      <xdr:row>40</xdr:row>
      <xdr:rowOff>6349</xdr:rowOff>
    </xdr:to>
    <xdr:sp macro="" textlink="">
      <xdr:nvSpPr>
        <xdr:cNvPr id="9" name="Rectangle 8"/>
        <xdr:cNvSpPr/>
      </xdr:nvSpPr>
      <xdr:spPr>
        <a:xfrm>
          <a:off x="2346324" y="2889250"/>
          <a:ext cx="14874876" cy="47370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514351</xdr:colOff>
      <xdr:row>15</xdr:row>
      <xdr:rowOff>66675</xdr:rowOff>
    </xdr:from>
    <xdr:ext cx="1476374" cy="352425"/>
    <xdr:sp macro="" textlink="">
      <xdr:nvSpPr>
        <xdr:cNvPr id="10" name="TextBox 9"/>
        <xdr:cNvSpPr txBox="1"/>
      </xdr:nvSpPr>
      <xdr:spPr>
        <a:xfrm>
          <a:off x="3352801" y="2924175"/>
          <a:ext cx="1476374"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1200"/>
        </a:p>
      </xdr:txBody>
    </xdr:sp>
    <xdr:clientData/>
  </xdr:oneCellAnchor>
  <xdr:oneCellAnchor>
    <xdr:from>
      <xdr:col>4</xdr:col>
      <xdr:colOff>361950</xdr:colOff>
      <xdr:row>15</xdr:row>
      <xdr:rowOff>85725</xdr:rowOff>
    </xdr:from>
    <xdr:ext cx="695326" cy="1076325"/>
    <xdr:sp macro="" textlink="">
      <xdr:nvSpPr>
        <xdr:cNvPr id="11" name="TextBox 10"/>
        <xdr:cNvSpPr txBox="1"/>
      </xdr:nvSpPr>
      <xdr:spPr>
        <a:xfrm>
          <a:off x="2590800" y="2943225"/>
          <a:ext cx="695326" cy="107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4800" b="1">
            <a:solidFill>
              <a:schemeClr val="accent3">
                <a:lumMod val="50000"/>
              </a:schemeClr>
            </a:solidFill>
            <a:effectLst/>
          </a:endParaRPr>
        </a:p>
        <a:p>
          <a:endParaRPr lang="en-IN" sz="1100"/>
        </a:p>
      </xdr:txBody>
    </xdr:sp>
    <xdr:clientData/>
  </xdr:oneCellAnchor>
  <xdr:oneCellAnchor>
    <xdr:from>
      <xdr:col>12</xdr:col>
      <xdr:colOff>0</xdr:colOff>
      <xdr:row>15</xdr:row>
      <xdr:rowOff>114300</xdr:rowOff>
    </xdr:from>
    <xdr:ext cx="2324100" cy="342786"/>
    <xdr:sp macro="" textlink="">
      <xdr:nvSpPr>
        <xdr:cNvPr id="12" name="TextBox 11"/>
        <xdr:cNvSpPr txBox="1"/>
      </xdr:nvSpPr>
      <xdr:spPr>
        <a:xfrm>
          <a:off x="7105650" y="2971800"/>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1600" b="1"/>
        </a:p>
      </xdr:txBody>
    </xdr:sp>
    <xdr:clientData/>
  </xdr:oneCellAnchor>
  <xdr:oneCellAnchor>
    <xdr:from>
      <xdr:col>16</xdr:col>
      <xdr:colOff>352425</xdr:colOff>
      <xdr:row>27</xdr:row>
      <xdr:rowOff>114300</xdr:rowOff>
    </xdr:from>
    <xdr:ext cx="2679699" cy="409575"/>
    <xdr:sp macro="" textlink="">
      <xdr:nvSpPr>
        <xdr:cNvPr id="13" name="TextBox 12"/>
        <xdr:cNvSpPr txBox="1"/>
      </xdr:nvSpPr>
      <xdr:spPr>
        <a:xfrm>
          <a:off x="9896475" y="5257800"/>
          <a:ext cx="2679699"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600" b="1"/>
        </a:p>
      </xdr:txBody>
    </xdr:sp>
    <xdr:clientData/>
  </xdr:oneCellAnchor>
  <xdr:oneCellAnchor>
    <xdr:from>
      <xdr:col>10</xdr:col>
      <xdr:colOff>371475</xdr:colOff>
      <xdr:row>29</xdr:row>
      <xdr:rowOff>161925</xdr:rowOff>
    </xdr:from>
    <xdr:ext cx="266291" cy="1076324"/>
    <xdr:sp macro="" textlink="">
      <xdr:nvSpPr>
        <xdr:cNvPr id="14" name="TextBox 13"/>
        <xdr:cNvSpPr txBox="1"/>
      </xdr:nvSpPr>
      <xdr:spPr>
        <a:xfrm>
          <a:off x="6257925" y="5686425"/>
          <a:ext cx="266291" cy="1076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A</a:t>
          </a:r>
        </a:p>
      </xdr:txBody>
    </xdr:sp>
    <xdr:clientData/>
  </xdr:oneCellAnchor>
  <xdr:oneCellAnchor>
    <xdr:from>
      <xdr:col>1</xdr:col>
      <xdr:colOff>200025</xdr:colOff>
      <xdr:row>17</xdr:row>
      <xdr:rowOff>85725</xdr:rowOff>
    </xdr:from>
    <xdr:ext cx="1419225" cy="428625"/>
    <xdr:sp macro="" textlink="">
      <xdr:nvSpPr>
        <xdr:cNvPr id="15" name="TextBox 14">
          <a:hlinkClick xmlns:r="http://schemas.openxmlformats.org/officeDocument/2006/relationships" r:id="rId2"/>
        </xdr:cNvPr>
        <xdr:cNvSpPr txBox="1"/>
      </xdr:nvSpPr>
      <xdr:spPr>
        <a:xfrm>
          <a:off x="685800" y="3324225"/>
          <a:ext cx="1419225" cy="428625"/>
        </a:xfrm>
        <a:prstGeom prst="roundRect">
          <a:avLst/>
        </a:prstGeom>
        <a:solidFill>
          <a:schemeClr val="accent1"/>
        </a:solidFill>
        <a:ln w="28575">
          <a:solidFill>
            <a:schemeClr val="bg1"/>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Products</a:t>
          </a:r>
        </a:p>
      </xdr:txBody>
    </xdr:sp>
    <xdr:clientData/>
  </xdr:oneCellAnchor>
  <xdr:oneCellAnchor>
    <xdr:from>
      <xdr:col>1</xdr:col>
      <xdr:colOff>180975</xdr:colOff>
      <xdr:row>20</xdr:row>
      <xdr:rowOff>104775</xdr:rowOff>
    </xdr:from>
    <xdr:ext cx="1419225" cy="428625"/>
    <xdr:sp macro="" textlink="">
      <xdr:nvSpPr>
        <xdr:cNvPr id="16" name="TextBox 15">
          <a:hlinkClick xmlns:r="http://schemas.openxmlformats.org/officeDocument/2006/relationships" r:id="rId3"/>
        </xdr:cNvPr>
        <xdr:cNvSpPr txBox="1"/>
      </xdr:nvSpPr>
      <xdr:spPr>
        <a:xfrm>
          <a:off x="666750" y="39147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Salesman</a:t>
          </a:r>
        </a:p>
      </xdr:txBody>
    </xdr:sp>
    <xdr:clientData/>
  </xdr:oneCellAnchor>
  <xdr:oneCellAnchor>
    <xdr:from>
      <xdr:col>1</xdr:col>
      <xdr:colOff>190500</xdr:colOff>
      <xdr:row>23</xdr:row>
      <xdr:rowOff>142875</xdr:rowOff>
    </xdr:from>
    <xdr:ext cx="1419225" cy="428625"/>
    <xdr:sp macro="" textlink="">
      <xdr:nvSpPr>
        <xdr:cNvPr id="17" name="TextBox 16">
          <a:hlinkClick xmlns:r="http://schemas.openxmlformats.org/officeDocument/2006/relationships" r:id="rId4"/>
        </xdr:cNvPr>
        <xdr:cNvSpPr txBox="1"/>
      </xdr:nvSpPr>
      <xdr:spPr>
        <a:xfrm>
          <a:off x="676275" y="4524375"/>
          <a:ext cx="1419225" cy="428625"/>
        </a:xfrm>
        <a:prstGeom prst="roundRect">
          <a:avLst/>
        </a:prstGeom>
        <a:solidFill>
          <a:schemeClr val="bg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1"/>
              </a:solidFill>
            </a:rPr>
            <a:t>About</a:t>
          </a:r>
        </a:p>
      </xdr:txBody>
    </xdr:sp>
    <xdr:clientData/>
  </xdr:oneCellAnchor>
  <xdr:oneCellAnchor>
    <xdr:from>
      <xdr:col>4</xdr:col>
      <xdr:colOff>447675</xdr:colOff>
      <xdr:row>11</xdr:row>
      <xdr:rowOff>133349</xdr:rowOff>
    </xdr:from>
    <xdr:ext cx="2209800" cy="619126"/>
    <xdr:sp macro="" textlink="">
      <xdr:nvSpPr>
        <xdr:cNvPr id="18" name="TextBox 17"/>
        <xdr:cNvSpPr txBox="1"/>
      </xdr:nvSpPr>
      <xdr:spPr>
        <a:xfrm>
          <a:off x="2676525" y="2228849"/>
          <a:ext cx="2209800" cy="619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400" b="1"/>
            <a:t>About</a:t>
          </a:r>
        </a:p>
      </xdr:txBody>
    </xdr:sp>
    <xdr:clientData/>
  </xdr:oneCellAnchor>
  <xdr:oneCellAnchor>
    <xdr:from>
      <xdr:col>4</xdr:col>
      <xdr:colOff>225424</xdr:colOff>
      <xdr:row>15</xdr:row>
      <xdr:rowOff>149225</xdr:rowOff>
    </xdr:from>
    <xdr:ext cx="3693433" cy="468013"/>
    <xdr:sp macro="" textlink="">
      <xdr:nvSpPr>
        <xdr:cNvPr id="21" name="TextBox 20"/>
        <xdr:cNvSpPr txBox="1"/>
      </xdr:nvSpPr>
      <xdr:spPr>
        <a:xfrm>
          <a:off x="2456995" y="3006725"/>
          <a:ext cx="369343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2400" b="1" baseline="0"/>
            <a:t>Project Developer :</a:t>
          </a:r>
        </a:p>
      </xdr:txBody>
    </xdr:sp>
    <xdr:clientData/>
  </xdr:oneCellAnchor>
  <xdr:oneCellAnchor>
    <xdr:from>
      <xdr:col>16</xdr:col>
      <xdr:colOff>447675</xdr:colOff>
      <xdr:row>15</xdr:row>
      <xdr:rowOff>130175</xdr:rowOff>
    </xdr:from>
    <xdr:ext cx="2679699" cy="409575"/>
    <xdr:sp macro="" textlink="">
      <xdr:nvSpPr>
        <xdr:cNvPr id="22" name="TextBox 21"/>
        <xdr:cNvSpPr txBox="1"/>
      </xdr:nvSpPr>
      <xdr:spPr>
        <a:xfrm>
          <a:off x="9991725" y="2987675"/>
          <a:ext cx="2679699"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600" b="1"/>
        </a:p>
      </xdr:txBody>
    </xdr:sp>
    <xdr:clientData/>
  </xdr:oneCellAnchor>
  <xdr:oneCellAnchor>
    <xdr:from>
      <xdr:col>4</xdr:col>
      <xdr:colOff>285750</xdr:colOff>
      <xdr:row>18</xdr:row>
      <xdr:rowOff>136071</xdr:rowOff>
    </xdr:from>
    <xdr:ext cx="12151179" cy="374141"/>
    <xdr:sp macro="" textlink="">
      <xdr:nvSpPr>
        <xdr:cNvPr id="4" name="TextBox 3"/>
        <xdr:cNvSpPr txBox="1"/>
      </xdr:nvSpPr>
      <xdr:spPr>
        <a:xfrm>
          <a:off x="2517321" y="3565071"/>
          <a:ext cx="1215117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t>This Wonderfull</a:t>
          </a:r>
          <a:r>
            <a:rPr lang="en-IN" sz="1600" baseline="0"/>
            <a:t> Project is Created By </a:t>
          </a:r>
          <a:r>
            <a:rPr lang="en-IN" sz="1800" b="1" baseline="0"/>
            <a:t>HARDIC SINGH.</a:t>
          </a:r>
          <a:endParaRPr lang="en-IN" sz="1800" b="1"/>
        </a:p>
      </xdr:txBody>
    </xdr:sp>
    <xdr:clientData/>
  </xdr:oneCellAnchor>
  <xdr:oneCellAnchor>
    <xdr:from>
      <xdr:col>4</xdr:col>
      <xdr:colOff>176893</xdr:colOff>
      <xdr:row>22</xdr:row>
      <xdr:rowOff>27213</xdr:rowOff>
    </xdr:from>
    <xdr:ext cx="3646715" cy="468013"/>
    <xdr:sp macro="" textlink="">
      <xdr:nvSpPr>
        <xdr:cNvPr id="7" name="TextBox 6"/>
        <xdr:cNvSpPr txBox="1"/>
      </xdr:nvSpPr>
      <xdr:spPr>
        <a:xfrm>
          <a:off x="2408464" y="4218213"/>
          <a:ext cx="364671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Objective :</a:t>
          </a:r>
          <a:endParaRPr lang="en-IN" sz="2800" b="1"/>
        </a:p>
      </xdr:txBody>
    </xdr:sp>
    <xdr:clientData/>
  </xdr:oneCellAnchor>
  <xdr:oneCellAnchor>
    <xdr:from>
      <xdr:col>4</xdr:col>
      <xdr:colOff>272143</xdr:colOff>
      <xdr:row>24</xdr:row>
      <xdr:rowOff>149678</xdr:rowOff>
    </xdr:from>
    <xdr:ext cx="12349022" cy="655949"/>
    <xdr:sp macro="" textlink="">
      <xdr:nvSpPr>
        <xdr:cNvPr id="8" name="TextBox 7"/>
        <xdr:cNvSpPr txBox="1"/>
      </xdr:nvSpPr>
      <xdr:spPr>
        <a:xfrm>
          <a:off x="2503714" y="4721678"/>
          <a:ext cx="12349022" cy="655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t>This</a:t>
          </a:r>
          <a:r>
            <a:rPr lang="en-IN" sz="1800" baseline="0"/>
            <a:t> Project Is Created to Find Out the Sale Done By SALESMAN  and to indentify the region in which the the sale occurs the most,</a:t>
          </a:r>
        </a:p>
        <a:p>
          <a:r>
            <a:rPr lang="en-IN" sz="1800" baseline="0"/>
            <a:t> and also what are the items that have been sold most of thetime by salesmans.</a:t>
          </a:r>
          <a:endParaRPr lang="en-IN" sz="1800"/>
        </a:p>
      </xdr:txBody>
    </xdr:sp>
    <xdr:clientData/>
  </xdr:oneCellAnchor>
  <xdr:oneCellAnchor>
    <xdr:from>
      <xdr:col>4</xdr:col>
      <xdr:colOff>149679</xdr:colOff>
      <xdr:row>28</xdr:row>
      <xdr:rowOff>149679</xdr:rowOff>
    </xdr:from>
    <xdr:ext cx="1731243" cy="468013"/>
    <xdr:sp macro="" textlink="">
      <xdr:nvSpPr>
        <xdr:cNvPr id="23" name="TextBox 22"/>
        <xdr:cNvSpPr txBox="1"/>
      </xdr:nvSpPr>
      <xdr:spPr>
        <a:xfrm>
          <a:off x="2381250" y="5483679"/>
          <a:ext cx="17312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Conclusion :</a:t>
          </a:r>
        </a:p>
      </xdr:txBody>
    </xdr:sp>
    <xdr:clientData/>
  </xdr:oneCellAnchor>
  <xdr:oneCellAnchor>
    <xdr:from>
      <xdr:col>4</xdr:col>
      <xdr:colOff>367393</xdr:colOff>
      <xdr:row>32</xdr:row>
      <xdr:rowOff>13607</xdr:rowOff>
    </xdr:from>
    <xdr:ext cx="11994117" cy="374141"/>
    <xdr:sp macro="" textlink="">
      <xdr:nvSpPr>
        <xdr:cNvPr id="24" name="TextBox 23"/>
        <xdr:cNvSpPr txBox="1"/>
      </xdr:nvSpPr>
      <xdr:spPr>
        <a:xfrm>
          <a:off x="2598964" y="6109607"/>
          <a:ext cx="1199411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a:t>I,</a:t>
          </a:r>
          <a:r>
            <a:rPr lang="en-IN" sz="1800" b="1"/>
            <a:t>HARDIC SINGH </a:t>
          </a:r>
          <a:r>
            <a:rPr lang="en-IN" sz="1600"/>
            <a:t>after completing this</a:t>
          </a:r>
          <a:r>
            <a:rPr lang="en-IN" sz="1600" baseline="0"/>
            <a:t> project find out few things which i created in next few sheets using Excel and Formulas and functions.</a:t>
          </a:r>
          <a:endParaRPr lang="en-IN" sz="1600"/>
        </a:p>
      </xdr:txBody>
    </xdr:sp>
    <xdr:clientData/>
  </xdr:oneCellAnchor>
  <xdr:twoCellAnchor>
    <xdr:from>
      <xdr:col>4</xdr:col>
      <xdr:colOff>81642</xdr:colOff>
      <xdr:row>2</xdr:row>
      <xdr:rowOff>27213</xdr:rowOff>
    </xdr:from>
    <xdr:to>
      <xdr:col>28</xdr:col>
      <xdr:colOff>326570</xdr:colOff>
      <xdr:row>8</xdr:row>
      <xdr:rowOff>176892</xdr:rowOff>
    </xdr:to>
    <xdr:sp macro="" textlink="">
      <xdr:nvSpPr>
        <xdr:cNvPr id="25" name="Rounded Rectangle 24"/>
        <xdr:cNvSpPr/>
      </xdr:nvSpPr>
      <xdr:spPr>
        <a:xfrm>
          <a:off x="2313213" y="408213"/>
          <a:ext cx="14940643" cy="1292679"/>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285750</xdr:colOff>
      <xdr:row>2</xdr:row>
      <xdr:rowOff>149679</xdr:rowOff>
    </xdr:from>
    <xdr:to>
      <xdr:col>28</xdr:col>
      <xdr:colOff>149677</xdr:colOff>
      <xdr:row>8</xdr:row>
      <xdr:rowOff>40821</xdr:rowOff>
    </xdr:to>
    <xdr:sp macro="" textlink="">
      <xdr:nvSpPr>
        <xdr:cNvPr id="26" name="Rounded Rectangle 25"/>
        <xdr:cNvSpPr/>
      </xdr:nvSpPr>
      <xdr:spPr>
        <a:xfrm>
          <a:off x="2517321" y="530679"/>
          <a:ext cx="14559642" cy="1034142"/>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600" b="1" u="sng">
            <a:solidFill>
              <a:schemeClr val="accent1"/>
            </a:solidFill>
          </a:endParaRPr>
        </a:p>
      </xdr:txBody>
    </xdr:sp>
    <xdr:clientData/>
  </xdr:twoCellAnchor>
  <xdr:twoCellAnchor editAs="oneCell">
    <xdr:from>
      <xdr:col>7</xdr:col>
      <xdr:colOff>136071</xdr:colOff>
      <xdr:row>1</xdr:row>
      <xdr:rowOff>13608</xdr:rowOff>
    </xdr:from>
    <xdr:to>
      <xdr:col>25</xdr:col>
      <xdr:colOff>517072</xdr:colOff>
      <xdr:row>10</xdr:row>
      <xdr:rowOff>81644</xdr:rowOff>
    </xdr:to>
    <xdr:pic>
      <xdr:nvPicPr>
        <xdr:cNvPr id="27" name="Picture 26"/>
        <xdr:cNvPicPr>
          <a:picLocks noChangeAspect="1"/>
        </xdr:cNvPicPr>
      </xdr:nvPicPr>
      <xdr:blipFill>
        <a:blip xmlns:r="http://schemas.openxmlformats.org/officeDocument/2006/relationships" r:embed="rId5"/>
        <a:stretch>
          <a:fillRect/>
        </a:stretch>
      </xdr:blipFill>
      <xdr:spPr>
        <a:xfrm>
          <a:off x="4204607" y="204108"/>
          <a:ext cx="11402786" cy="1782536"/>
        </a:xfrm>
        <a:prstGeom prst="rect">
          <a:avLst/>
        </a:prstGeom>
      </xdr:spPr>
    </xdr:pic>
    <xdr:clientData/>
  </xdr:twoCellAnchor>
  <xdr:twoCellAnchor editAs="oneCell">
    <xdr:from>
      <xdr:col>1</xdr:col>
      <xdr:colOff>176893</xdr:colOff>
      <xdr:row>3</xdr:row>
      <xdr:rowOff>95249</xdr:rowOff>
    </xdr:from>
    <xdr:to>
      <xdr:col>3</xdr:col>
      <xdr:colOff>517071</xdr:colOff>
      <xdr:row>13</xdr:row>
      <xdr:rowOff>0</xdr:rowOff>
    </xdr:to>
    <xdr:pic>
      <xdr:nvPicPr>
        <xdr:cNvPr id="28" name="Picture 2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66750" y="666749"/>
          <a:ext cx="1469571" cy="180975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24</xdr:col>
      <xdr:colOff>149678</xdr:colOff>
      <xdr:row>16</xdr:row>
      <xdr:rowOff>54427</xdr:rowOff>
    </xdr:from>
    <xdr:to>
      <xdr:col>28</xdr:col>
      <xdr:colOff>285749</xdr:colOff>
      <xdr:row>37</xdr:row>
      <xdr:rowOff>108856</xdr:rowOff>
    </xdr:to>
    <xdr:pic>
      <xdr:nvPicPr>
        <xdr:cNvPr id="29" name="Picture 2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627678" y="3102427"/>
          <a:ext cx="2585357" cy="40549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104776</xdr:colOff>
      <xdr:row>1</xdr:row>
      <xdr:rowOff>123825</xdr:rowOff>
    </xdr:from>
    <xdr:to>
      <xdr:col>26</xdr:col>
      <xdr:colOff>104776</xdr:colOff>
      <xdr:row>40</xdr:row>
      <xdr:rowOff>104775</xdr:rowOff>
    </xdr:to>
    <xdr:sp macro="" textlink="">
      <xdr:nvSpPr>
        <xdr:cNvPr id="2" name="Rounded Rectangle 1"/>
        <xdr:cNvSpPr/>
      </xdr:nvSpPr>
      <xdr:spPr>
        <a:xfrm>
          <a:off x="590551" y="314325"/>
          <a:ext cx="15154275" cy="7410450"/>
        </a:xfrm>
        <a:prstGeom prst="roundRect">
          <a:avLst>
            <a:gd name="adj" fmla="val 32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581025</xdr:colOff>
      <xdr:row>1</xdr:row>
      <xdr:rowOff>123825</xdr:rowOff>
    </xdr:from>
    <xdr:to>
      <xdr:col>28</xdr:col>
      <xdr:colOff>457200</xdr:colOff>
      <xdr:row>40</xdr:row>
      <xdr:rowOff>104775</xdr:rowOff>
    </xdr:to>
    <xdr:sp macro="" textlink="">
      <xdr:nvSpPr>
        <xdr:cNvPr id="3" name="Rounded Rectangle 2"/>
        <xdr:cNvSpPr/>
      </xdr:nvSpPr>
      <xdr:spPr>
        <a:xfrm>
          <a:off x="2200275" y="314325"/>
          <a:ext cx="15116175" cy="7410450"/>
        </a:xfrm>
        <a:prstGeom prst="roundRect">
          <a:avLst>
            <a:gd name="adj" fmla="val 3299"/>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4</xdr:col>
      <xdr:colOff>28576</xdr:colOff>
      <xdr:row>11</xdr:row>
      <xdr:rowOff>142876</xdr:rowOff>
    </xdr:from>
    <xdr:to>
      <xdr:col>4</xdr:col>
      <xdr:colOff>466726</xdr:colOff>
      <xdr:row>14</xdr:row>
      <xdr:rowOff>9526</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426" y="2238376"/>
          <a:ext cx="438150" cy="438150"/>
        </a:xfrm>
        <a:prstGeom prst="rect">
          <a:avLst/>
        </a:prstGeom>
      </xdr:spPr>
    </xdr:pic>
    <xdr:clientData/>
  </xdr:twoCellAnchor>
  <xdr:oneCellAnchor>
    <xdr:from>
      <xdr:col>5</xdr:col>
      <xdr:colOff>123825</xdr:colOff>
      <xdr:row>4</xdr:row>
      <xdr:rowOff>47625</xdr:rowOff>
    </xdr:from>
    <xdr:ext cx="184731" cy="264560"/>
    <xdr:sp macro="" textlink="">
      <xdr:nvSpPr>
        <xdr:cNvPr id="5" name="TextBox 4"/>
        <xdr:cNvSpPr txBox="1"/>
      </xdr:nvSpPr>
      <xdr:spPr>
        <a:xfrm>
          <a:off x="2962275"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200025</xdr:colOff>
      <xdr:row>14</xdr:row>
      <xdr:rowOff>76200</xdr:rowOff>
    </xdr:from>
    <xdr:ext cx="1419225" cy="428625"/>
    <xdr:sp macro="" textlink="">
      <xdr:nvSpPr>
        <xdr:cNvPr id="6" name="TextBox 5">
          <a:hlinkClick xmlns:r="http://schemas.openxmlformats.org/officeDocument/2006/relationships" r:id="rId2"/>
        </xdr:cNvPr>
        <xdr:cNvSpPr txBox="1"/>
      </xdr:nvSpPr>
      <xdr:spPr>
        <a:xfrm>
          <a:off x="685800" y="2743200"/>
          <a:ext cx="1419225" cy="428625"/>
        </a:xfrm>
        <a:prstGeom prst="round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Dashboard</a:t>
          </a:r>
        </a:p>
      </xdr:txBody>
    </xdr:sp>
    <xdr:clientData/>
  </xdr:oneCellAnchor>
  <xdr:twoCellAnchor>
    <xdr:from>
      <xdr:col>16</xdr:col>
      <xdr:colOff>352425</xdr:colOff>
      <xdr:row>15</xdr:row>
      <xdr:rowOff>28575</xdr:rowOff>
    </xdr:from>
    <xdr:to>
      <xdr:col>28</xdr:col>
      <xdr:colOff>381000</xdr:colOff>
      <xdr:row>26</xdr:row>
      <xdr:rowOff>57150</xdr:rowOff>
    </xdr:to>
    <xdr:sp macro="" textlink="">
      <xdr:nvSpPr>
        <xdr:cNvPr id="7" name="Rectangle 6"/>
        <xdr:cNvSpPr/>
      </xdr:nvSpPr>
      <xdr:spPr>
        <a:xfrm>
          <a:off x="9896475" y="2886075"/>
          <a:ext cx="7343775" cy="21240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 By monthsV</a:t>
          </a:r>
        </a:p>
      </xdr:txBody>
    </xdr:sp>
    <xdr:clientData/>
  </xdr:twoCellAnchor>
  <xdr:twoCellAnchor>
    <xdr:from>
      <xdr:col>16</xdr:col>
      <xdr:colOff>314324</xdr:colOff>
      <xdr:row>27</xdr:row>
      <xdr:rowOff>85725</xdr:rowOff>
    </xdr:from>
    <xdr:to>
      <xdr:col>28</xdr:col>
      <xdr:colOff>380999</xdr:colOff>
      <xdr:row>39</xdr:row>
      <xdr:rowOff>142874</xdr:rowOff>
    </xdr:to>
    <xdr:sp macro="" textlink="">
      <xdr:nvSpPr>
        <xdr:cNvPr id="8" name="Rectangle 7"/>
        <xdr:cNvSpPr/>
      </xdr:nvSpPr>
      <xdr:spPr>
        <a:xfrm>
          <a:off x="9858374" y="5229225"/>
          <a:ext cx="7381875" cy="234314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117474</xdr:colOff>
      <xdr:row>15</xdr:row>
      <xdr:rowOff>31750</xdr:rowOff>
    </xdr:from>
    <xdr:to>
      <xdr:col>16</xdr:col>
      <xdr:colOff>184149</xdr:colOff>
      <xdr:row>40</xdr:row>
      <xdr:rowOff>6349</xdr:rowOff>
    </xdr:to>
    <xdr:sp macro="" textlink="">
      <xdr:nvSpPr>
        <xdr:cNvPr id="9" name="Rectangle 8"/>
        <xdr:cNvSpPr/>
      </xdr:nvSpPr>
      <xdr:spPr>
        <a:xfrm>
          <a:off x="2346324" y="2889250"/>
          <a:ext cx="7381875" cy="47370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514351</xdr:colOff>
      <xdr:row>15</xdr:row>
      <xdr:rowOff>66675</xdr:rowOff>
    </xdr:from>
    <xdr:ext cx="1476374" cy="352425"/>
    <xdr:sp macro="" textlink="">
      <xdr:nvSpPr>
        <xdr:cNvPr id="10" name="TextBox 9"/>
        <xdr:cNvSpPr txBox="1"/>
      </xdr:nvSpPr>
      <xdr:spPr>
        <a:xfrm>
          <a:off x="3352801" y="2924175"/>
          <a:ext cx="1476374"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1200"/>
        </a:p>
      </xdr:txBody>
    </xdr:sp>
    <xdr:clientData/>
  </xdr:oneCellAnchor>
  <xdr:oneCellAnchor>
    <xdr:from>
      <xdr:col>4</xdr:col>
      <xdr:colOff>361950</xdr:colOff>
      <xdr:row>15</xdr:row>
      <xdr:rowOff>85725</xdr:rowOff>
    </xdr:from>
    <xdr:ext cx="695326" cy="1076325"/>
    <xdr:sp macro="" textlink="">
      <xdr:nvSpPr>
        <xdr:cNvPr id="11" name="TextBox 10"/>
        <xdr:cNvSpPr txBox="1"/>
      </xdr:nvSpPr>
      <xdr:spPr>
        <a:xfrm>
          <a:off x="2590800" y="2943225"/>
          <a:ext cx="695326" cy="107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4800" b="1">
            <a:solidFill>
              <a:schemeClr val="accent3">
                <a:lumMod val="50000"/>
              </a:schemeClr>
            </a:solidFill>
            <a:effectLst/>
          </a:endParaRPr>
        </a:p>
        <a:p>
          <a:endParaRPr lang="en-IN" sz="1100"/>
        </a:p>
      </xdr:txBody>
    </xdr:sp>
    <xdr:clientData/>
  </xdr:oneCellAnchor>
  <xdr:oneCellAnchor>
    <xdr:from>
      <xdr:col>12</xdr:col>
      <xdr:colOff>0</xdr:colOff>
      <xdr:row>15</xdr:row>
      <xdr:rowOff>114300</xdr:rowOff>
    </xdr:from>
    <xdr:ext cx="2324100" cy="342786"/>
    <xdr:sp macro="" textlink="">
      <xdr:nvSpPr>
        <xdr:cNvPr id="12" name="TextBox 11"/>
        <xdr:cNvSpPr txBox="1"/>
      </xdr:nvSpPr>
      <xdr:spPr>
        <a:xfrm>
          <a:off x="7105650" y="2971800"/>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1600" b="1"/>
        </a:p>
      </xdr:txBody>
    </xdr:sp>
    <xdr:clientData/>
  </xdr:oneCellAnchor>
  <xdr:oneCellAnchor>
    <xdr:from>
      <xdr:col>16</xdr:col>
      <xdr:colOff>352425</xdr:colOff>
      <xdr:row>27</xdr:row>
      <xdr:rowOff>114300</xdr:rowOff>
    </xdr:from>
    <xdr:ext cx="2679699" cy="409575"/>
    <xdr:sp macro="" textlink="">
      <xdr:nvSpPr>
        <xdr:cNvPr id="14" name="TextBox 13"/>
        <xdr:cNvSpPr txBox="1"/>
      </xdr:nvSpPr>
      <xdr:spPr>
        <a:xfrm>
          <a:off x="9896475" y="5257800"/>
          <a:ext cx="2679699"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Poor</a:t>
          </a:r>
          <a:r>
            <a:rPr lang="en-IN" sz="1600" b="1" baseline="0"/>
            <a:t> Performing 3 Salesman</a:t>
          </a:r>
        </a:p>
        <a:p>
          <a:endParaRPr lang="en-IN" sz="1600" b="1"/>
        </a:p>
      </xdr:txBody>
    </xdr:sp>
    <xdr:clientData/>
  </xdr:oneCellAnchor>
  <xdr:oneCellAnchor>
    <xdr:from>
      <xdr:col>10</xdr:col>
      <xdr:colOff>371475</xdr:colOff>
      <xdr:row>29</xdr:row>
      <xdr:rowOff>161925</xdr:rowOff>
    </xdr:from>
    <xdr:ext cx="266291" cy="1076324"/>
    <xdr:sp macro="" textlink="">
      <xdr:nvSpPr>
        <xdr:cNvPr id="15" name="TextBox 14"/>
        <xdr:cNvSpPr txBox="1"/>
      </xdr:nvSpPr>
      <xdr:spPr>
        <a:xfrm>
          <a:off x="6257925" y="5686425"/>
          <a:ext cx="266291" cy="1076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A</a:t>
          </a:r>
        </a:p>
      </xdr:txBody>
    </xdr:sp>
    <xdr:clientData/>
  </xdr:oneCellAnchor>
  <xdr:oneCellAnchor>
    <xdr:from>
      <xdr:col>1</xdr:col>
      <xdr:colOff>200025</xdr:colOff>
      <xdr:row>17</xdr:row>
      <xdr:rowOff>85725</xdr:rowOff>
    </xdr:from>
    <xdr:ext cx="1419225" cy="428625"/>
    <xdr:sp macro="" textlink="">
      <xdr:nvSpPr>
        <xdr:cNvPr id="16" name="TextBox 15">
          <a:hlinkClick xmlns:r="http://schemas.openxmlformats.org/officeDocument/2006/relationships" r:id="rId3"/>
        </xdr:cNvPr>
        <xdr:cNvSpPr txBox="1"/>
      </xdr:nvSpPr>
      <xdr:spPr>
        <a:xfrm>
          <a:off x="685800" y="3324225"/>
          <a:ext cx="1419225" cy="428625"/>
        </a:xfrm>
        <a:prstGeom prst="roundRect">
          <a:avLst/>
        </a:prstGeom>
        <a:solidFill>
          <a:schemeClr val="accent1"/>
        </a:solidFill>
        <a:ln w="28575">
          <a:solidFill>
            <a:schemeClr val="bg1"/>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Products</a:t>
          </a:r>
        </a:p>
      </xdr:txBody>
    </xdr:sp>
    <xdr:clientData/>
  </xdr:oneCellAnchor>
  <xdr:oneCellAnchor>
    <xdr:from>
      <xdr:col>1</xdr:col>
      <xdr:colOff>180975</xdr:colOff>
      <xdr:row>20</xdr:row>
      <xdr:rowOff>104775</xdr:rowOff>
    </xdr:from>
    <xdr:ext cx="1419225" cy="428625"/>
    <xdr:sp macro="" textlink="">
      <xdr:nvSpPr>
        <xdr:cNvPr id="17" name="TextBox 16">
          <a:hlinkClick xmlns:r="http://schemas.openxmlformats.org/officeDocument/2006/relationships" r:id="rId4"/>
        </xdr:cNvPr>
        <xdr:cNvSpPr txBox="1"/>
      </xdr:nvSpPr>
      <xdr:spPr>
        <a:xfrm>
          <a:off x="666750" y="3914775"/>
          <a:ext cx="1419225" cy="428625"/>
        </a:xfrm>
        <a:prstGeom prst="roundRect">
          <a:avLst/>
        </a:prstGeom>
        <a:solidFill>
          <a:schemeClr val="bg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1"/>
              </a:solidFill>
            </a:rPr>
            <a:t>Salesman</a:t>
          </a:r>
        </a:p>
      </xdr:txBody>
    </xdr:sp>
    <xdr:clientData/>
  </xdr:oneCellAnchor>
  <xdr:oneCellAnchor>
    <xdr:from>
      <xdr:col>1</xdr:col>
      <xdr:colOff>190500</xdr:colOff>
      <xdr:row>23</xdr:row>
      <xdr:rowOff>142875</xdr:rowOff>
    </xdr:from>
    <xdr:ext cx="1419225" cy="428625"/>
    <xdr:sp macro="" textlink="">
      <xdr:nvSpPr>
        <xdr:cNvPr id="18" name="TextBox 17">
          <a:hlinkClick xmlns:r="http://schemas.openxmlformats.org/officeDocument/2006/relationships" r:id="rId5"/>
        </xdr:cNvPr>
        <xdr:cNvSpPr txBox="1"/>
      </xdr:nvSpPr>
      <xdr:spPr>
        <a:xfrm>
          <a:off x="676275" y="45243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About</a:t>
          </a:r>
        </a:p>
      </xdr:txBody>
    </xdr:sp>
    <xdr:clientData/>
  </xdr:oneCellAnchor>
  <xdr:oneCellAnchor>
    <xdr:from>
      <xdr:col>4</xdr:col>
      <xdr:colOff>447675</xdr:colOff>
      <xdr:row>11</xdr:row>
      <xdr:rowOff>133349</xdr:rowOff>
    </xdr:from>
    <xdr:ext cx="2209800" cy="619126"/>
    <xdr:sp macro="" textlink="">
      <xdr:nvSpPr>
        <xdr:cNvPr id="19" name="TextBox 18"/>
        <xdr:cNvSpPr txBox="1"/>
      </xdr:nvSpPr>
      <xdr:spPr>
        <a:xfrm>
          <a:off x="2676525" y="2228849"/>
          <a:ext cx="2209800" cy="619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400" b="1"/>
            <a:t>ANALYTICS</a:t>
          </a:r>
        </a:p>
      </xdr:txBody>
    </xdr:sp>
    <xdr:clientData/>
  </xdr:oneCellAnchor>
  <xdr:oneCellAnchor>
    <xdr:from>
      <xdr:col>4</xdr:col>
      <xdr:colOff>225425</xdr:colOff>
      <xdr:row>15</xdr:row>
      <xdr:rowOff>149225</xdr:rowOff>
    </xdr:from>
    <xdr:ext cx="2324100" cy="342786"/>
    <xdr:sp macro="" textlink="">
      <xdr:nvSpPr>
        <xdr:cNvPr id="22" name="TextBox 21"/>
        <xdr:cNvSpPr txBox="1"/>
      </xdr:nvSpPr>
      <xdr:spPr>
        <a:xfrm>
          <a:off x="2454275" y="3006725"/>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600" b="1"/>
            <a:t>Sale</a:t>
          </a:r>
          <a:r>
            <a:rPr lang="en-IN" sz="1600" b="1" baseline="0"/>
            <a:t> By Salesman</a:t>
          </a:r>
        </a:p>
      </xdr:txBody>
    </xdr:sp>
    <xdr:clientData/>
  </xdr:oneCellAnchor>
  <xdr:oneCellAnchor>
    <xdr:from>
      <xdr:col>16</xdr:col>
      <xdr:colOff>447675</xdr:colOff>
      <xdr:row>15</xdr:row>
      <xdr:rowOff>130175</xdr:rowOff>
    </xdr:from>
    <xdr:ext cx="2679699" cy="409575"/>
    <xdr:sp macro="" textlink="">
      <xdr:nvSpPr>
        <xdr:cNvPr id="26" name="TextBox 25"/>
        <xdr:cNvSpPr txBox="1"/>
      </xdr:nvSpPr>
      <xdr:spPr>
        <a:xfrm>
          <a:off x="9909175" y="2987675"/>
          <a:ext cx="2679699"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baseline="0"/>
            <a:t>Top Performing 3 Salesman</a:t>
          </a:r>
        </a:p>
        <a:p>
          <a:endParaRPr lang="en-IN" sz="1600" b="1"/>
        </a:p>
      </xdr:txBody>
    </xdr:sp>
    <xdr:clientData/>
  </xdr:oneCellAnchor>
  <xdr:twoCellAnchor editAs="oneCell">
    <xdr:from>
      <xdr:col>23</xdr:col>
      <xdr:colOff>59531</xdr:colOff>
      <xdr:row>2</xdr:row>
      <xdr:rowOff>16668</xdr:rowOff>
    </xdr:from>
    <xdr:to>
      <xdr:col>28</xdr:col>
      <xdr:colOff>354806</xdr:colOff>
      <xdr:row>7</xdr:row>
      <xdr:rowOff>178593</xdr:rowOff>
    </xdr:to>
    <mc:AlternateContent xmlns:mc="http://schemas.openxmlformats.org/markup-compatibility/2006">
      <mc:Choice xmlns:a14="http://schemas.microsoft.com/office/drawing/2010/main" Requires="a14">
        <xdr:graphicFrame macro="">
          <xdr:nvGraphicFramePr>
            <xdr:cNvPr id="30"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3823156" y="397668"/>
              <a:ext cx="3331369"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45244</xdr:colOff>
      <xdr:row>8</xdr:row>
      <xdr:rowOff>52388</xdr:rowOff>
    </xdr:from>
    <xdr:to>
      <xdr:col>28</xdr:col>
      <xdr:colOff>357187</xdr:colOff>
      <xdr:row>11</xdr:row>
      <xdr:rowOff>109538</xdr:rowOff>
    </xdr:to>
    <mc:AlternateContent xmlns:mc="http://schemas.openxmlformats.org/markup-compatibility/2006">
      <mc:Choice xmlns:a14="http://schemas.microsoft.com/office/drawing/2010/main" Requires="a14">
        <xdr:graphicFrame macro="">
          <xdr:nvGraphicFramePr>
            <xdr:cNvPr id="31" name="Item 3"/>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2271713" y="1576388"/>
              <a:ext cx="14885193"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419099</xdr:colOff>
      <xdr:row>17</xdr:row>
      <xdr:rowOff>59532</xdr:rowOff>
    </xdr:from>
    <xdr:to>
      <xdr:col>28</xdr:col>
      <xdr:colOff>273844</xdr:colOff>
      <xdr:row>25</xdr:row>
      <xdr:rowOff>180976</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321467</xdr:colOff>
      <xdr:row>29</xdr:row>
      <xdr:rowOff>11906</xdr:rowOff>
    </xdr:from>
    <xdr:to>
      <xdr:col>28</xdr:col>
      <xdr:colOff>285750</xdr:colOff>
      <xdr:row>39</xdr:row>
      <xdr:rowOff>59531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203198</xdr:colOff>
      <xdr:row>17</xdr:row>
      <xdr:rowOff>59531</xdr:rowOff>
    </xdr:from>
    <xdr:to>
      <xdr:col>16</xdr:col>
      <xdr:colOff>47624</xdr:colOff>
      <xdr:row>39</xdr:row>
      <xdr:rowOff>93662</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83344</xdr:colOff>
      <xdr:row>2</xdr:row>
      <xdr:rowOff>23813</xdr:rowOff>
    </xdr:from>
    <xdr:to>
      <xdr:col>22</xdr:col>
      <xdr:colOff>583407</xdr:colOff>
      <xdr:row>7</xdr:row>
      <xdr:rowOff>178594</xdr:rowOff>
    </xdr:to>
    <xdr:sp macro="" textlink="">
      <xdr:nvSpPr>
        <xdr:cNvPr id="35" name="Rounded Rectangle 34"/>
        <xdr:cNvSpPr/>
      </xdr:nvSpPr>
      <xdr:spPr>
        <a:xfrm>
          <a:off x="2309813" y="404813"/>
          <a:ext cx="11430000" cy="110728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226219</xdr:colOff>
      <xdr:row>2</xdr:row>
      <xdr:rowOff>107156</xdr:rowOff>
    </xdr:from>
    <xdr:to>
      <xdr:col>22</xdr:col>
      <xdr:colOff>464344</xdr:colOff>
      <xdr:row>7</xdr:row>
      <xdr:rowOff>107156</xdr:rowOff>
    </xdr:to>
    <xdr:sp macro="" textlink="">
      <xdr:nvSpPr>
        <xdr:cNvPr id="36" name="Rounded Rectangle 35"/>
        <xdr:cNvSpPr/>
      </xdr:nvSpPr>
      <xdr:spPr>
        <a:xfrm>
          <a:off x="2452688" y="488156"/>
          <a:ext cx="11168062" cy="95250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600" b="1" u="sng">
            <a:solidFill>
              <a:schemeClr val="accent1"/>
            </a:solidFill>
          </a:endParaRPr>
        </a:p>
      </xdr:txBody>
    </xdr:sp>
    <xdr:clientData/>
  </xdr:twoCellAnchor>
  <xdr:oneCellAnchor>
    <xdr:from>
      <xdr:col>4</xdr:col>
      <xdr:colOff>321468</xdr:colOff>
      <xdr:row>2</xdr:row>
      <xdr:rowOff>107156</xdr:rowOff>
    </xdr:from>
    <xdr:ext cx="10989469" cy="843757"/>
    <xdr:sp macro="" textlink="">
      <xdr:nvSpPr>
        <xdr:cNvPr id="13" name="TextBox 12"/>
        <xdr:cNvSpPr txBox="1"/>
      </xdr:nvSpPr>
      <xdr:spPr>
        <a:xfrm>
          <a:off x="2547937" y="488156"/>
          <a:ext cx="10989469"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4800" b="1" u="sng">
              <a:solidFill>
                <a:schemeClr val="accent1"/>
              </a:solidFill>
            </a:rPr>
            <a:t>MADALASHA ENTERPRISES</a:t>
          </a:r>
        </a:p>
      </xdr:txBody>
    </xdr:sp>
    <xdr:clientData/>
  </xdr:oneCellAnchor>
  <xdr:twoCellAnchor editAs="oneCell">
    <xdr:from>
      <xdr:col>1</xdr:col>
      <xdr:colOff>257177</xdr:colOff>
      <xdr:row>3</xdr:row>
      <xdr:rowOff>159543</xdr:rowOff>
    </xdr:from>
    <xdr:to>
      <xdr:col>3</xdr:col>
      <xdr:colOff>403643</xdr:colOff>
      <xdr:row>12</xdr:row>
      <xdr:rowOff>36315</xdr:rowOff>
    </xdr:to>
    <xdr:pic>
      <xdr:nvPicPr>
        <xdr:cNvPr id="37" name="Picture 36"/>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45333" y="731043"/>
          <a:ext cx="1277560" cy="159127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104776</xdr:colOff>
      <xdr:row>1</xdr:row>
      <xdr:rowOff>123825</xdr:rowOff>
    </xdr:from>
    <xdr:to>
      <xdr:col>26</xdr:col>
      <xdr:colOff>104776</xdr:colOff>
      <xdr:row>40</xdr:row>
      <xdr:rowOff>104775</xdr:rowOff>
    </xdr:to>
    <xdr:sp macro="" textlink="">
      <xdr:nvSpPr>
        <xdr:cNvPr id="2" name="Rounded Rectangle 1"/>
        <xdr:cNvSpPr/>
      </xdr:nvSpPr>
      <xdr:spPr>
        <a:xfrm>
          <a:off x="590551" y="314325"/>
          <a:ext cx="15154275" cy="7410450"/>
        </a:xfrm>
        <a:prstGeom prst="roundRect">
          <a:avLst>
            <a:gd name="adj" fmla="val 32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581025</xdr:colOff>
      <xdr:row>1</xdr:row>
      <xdr:rowOff>123825</xdr:rowOff>
    </xdr:from>
    <xdr:to>
      <xdr:col>28</xdr:col>
      <xdr:colOff>457200</xdr:colOff>
      <xdr:row>40</xdr:row>
      <xdr:rowOff>104775</xdr:rowOff>
    </xdr:to>
    <xdr:sp macro="" textlink="">
      <xdr:nvSpPr>
        <xdr:cNvPr id="3" name="Rounded Rectangle 2"/>
        <xdr:cNvSpPr/>
      </xdr:nvSpPr>
      <xdr:spPr>
        <a:xfrm>
          <a:off x="2200275" y="314325"/>
          <a:ext cx="15116175" cy="7410450"/>
        </a:xfrm>
        <a:prstGeom prst="roundRect">
          <a:avLst>
            <a:gd name="adj" fmla="val 3299"/>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4</xdr:col>
      <xdr:colOff>28576</xdr:colOff>
      <xdr:row>11</xdr:row>
      <xdr:rowOff>142876</xdr:rowOff>
    </xdr:from>
    <xdr:to>
      <xdr:col>4</xdr:col>
      <xdr:colOff>466726</xdr:colOff>
      <xdr:row>14</xdr:row>
      <xdr:rowOff>9526</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7426" y="2238376"/>
          <a:ext cx="438150" cy="438150"/>
        </a:xfrm>
        <a:prstGeom prst="rect">
          <a:avLst/>
        </a:prstGeom>
      </xdr:spPr>
    </xdr:pic>
    <xdr:clientData/>
  </xdr:twoCellAnchor>
  <xdr:oneCellAnchor>
    <xdr:from>
      <xdr:col>5</xdr:col>
      <xdr:colOff>123825</xdr:colOff>
      <xdr:row>4</xdr:row>
      <xdr:rowOff>47625</xdr:rowOff>
    </xdr:from>
    <xdr:ext cx="184731" cy="264560"/>
    <xdr:sp macro="" textlink="">
      <xdr:nvSpPr>
        <xdr:cNvPr id="5" name="TextBox 4"/>
        <xdr:cNvSpPr txBox="1"/>
      </xdr:nvSpPr>
      <xdr:spPr>
        <a:xfrm>
          <a:off x="2962275"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200025</xdr:colOff>
      <xdr:row>14</xdr:row>
      <xdr:rowOff>76200</xdr:rowOff>
    </xdr:from>
    <xdr:ext cx="1419225" cy="428625"/>
    <xdr:sp macro="" textlink="">
      <xdr:nvSpPr>
        <xdr:cNvPr id="6" name="TextBox 5">
          <a:hlinkClick xmlns:r="http://schemas.openxmlformats.org/officeDocument/2006/relationships" r:id="rId2"/>
        </xdr:cNvPr>
        <xdr:cNvSpPr txBox="1"/>
      </xdr:nvSpPr>
      <xdr:spPr>
        <a:xfrm>
          <a:off x="685800" y="2743200"/>
          <a:ext cx="1419225" cy="428625"/>
        </a:xfrm>
        <a:prstGeom prst="round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Dashboard</a:t>
          </a:r>
        </a:p>
      </xdr:txBody>
    </xdr:sp>
    <xdr:clientData/>
  </xdr:oneCellAnchor>
  <xdr:twoCellAnchor>
    <xdr:from>
      <xdr:col>16</xdr:col>
      <xdr:colOff>352425</xdr:colOff>
      <xdr:row>15</xdr:row>
      <xdr:rowOff>28575</xdr:rowOff>
    </xdr:from>
    <xdr:to>
      <xdr:col>28</xdr:col>
      <xdr:colOff>381000</xdr:colOff>
      <xdr:row>26</xdr:row>
      <xdr:rowOff>57150</xdr:rowOff>
    </xdr:to>
    <xdr:sp macro="" textlink="">
      <xdr:nvSpPr>
        <xdr:cNvPr id="7" name="Rectangle 6"/>
        <xdr:cNvSpPr/>
      </xdr:nvSpPr>
      <xdr:spPr>
        <a:xfrm>
          <a:off x="9896475" y="2886075"/>
          <a:ext cx="7343775" cy="21240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 By monthsV</a:t>
          </a:r>
        </a:p>
      </xdr:txBody>
    </xdr:sp>
    <xdr:clientData/>
  </xdr:twoCellAnchor>
  <xdr:twoCellAnchor>
    <xdr:from>
      <xdr:col>16</xdr:col>
      <xdr:colOff>314324</xdr:colOff>
      <xdr:row>27</xdr:row>
      <xdr:rowOff>85725</xdr:rowOff>
    </xdr:from>
    <xdr:to>
      <xdr:col>28</xdr:col>
      <xdr:colOff>380999</xdr:colOff>
      <xdr:row>39</xdr:row>
      <xdr:rowOff>142874</xdr:rowOff>
    </xdr:to>
    <xdr:sp macro="" textlink="">
      <xdr:nvSpPr>
        <xdr:cNvPr id="8" name="Rectangle 7"/>
        <xdr:cNvSpPr/>
      </xdr:nvSpPr>
      <xdr:spPr>
        <a:xfrm>
          <a:off x="9858374" y="5229225"/>
          <a:ext cx="7381875" cy="234314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117474</xdr:colOff>
      <xdr:row>15</xdr:row>
      <xdr:rowOff>31750</xdr:rowOff>
    </xdr:from>
    <xdr:to>
      <xdr:col>16</xdr:col>
      <xdr:colOff>184149</xdr:colOff>
      <xdr:row>40</xdr:row>
      <xdr:rowOff>6349</xdr:rowOff>
    </xdr:to>
    <xdr:sp macro="" textlink="">
      <xdr:nvSpPr>
        <xdr:cNvPr id="9" name="Rectangle 8"/>
        <xdr:cNvSpPr/>
      </xdr:nvSpPr>
      <xdr:spPr>
        <a:xfrm>
          <a:off x="2339974" y="2889250"/>
          <a:ext cx="7305675" cy="47370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514351</xdr:colOff>
      <xdr:row>15</xdr:row>
      <xdr:rowOff>66675</xdr:rowOff>
    </xdr:from>
    <xdr:ext cx="1476374" cy="352425"/>
    <xdr:sp macro="" textlink="">
      <xdr:nvSpPr>
        <xdr:cNvPr id="14" name="TextBox 13"/>
        <xdr:cNvSpPr txBox="1"/>
      </xdr:nvSpPr>
      <xdr:spPr>
        <a:xfrm>
          <a:off x="3352801" y="2924175"/>
          <a:ext cx="1476374"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1200"/>
        </a:p>
      </xdr:txBody>
    </xdr:sp>
    <xdr:clientData/>
  </xdr:oneCellAnchor>
  <xdr:oneCellAnchor>
    <xdr:from>
      <xdr:col>4</xdr:col>
      <xdr:colOff>361950</xdr:colOff>
      <xdr:row>15</xdr:row>
      <xdr:rowOff>85725</xdr:rowOff>
    </xdr:from>
    <xdr:ext cx="695326" cy="1076325"/>
    <xdr:sp macro="" textlink="">
      <xdr:nvSpPr>
        <xdr:cNvPr id="15" name="TextBox 14"/>
        <xdr:cNvSpPr txBox="1"/>
      </xdr:nvSpPr>
      <xdr:spPr>
        <a:xfrm>
          <a:off x="2590800" y="2943225"/>
          <a:ext cx="695326" cy="107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endParaRPr lang="en-IN" sz="4800" b="1">
            <a:solidFill>
              <a:schemeClr val="accent3">
                <a:lumMod val="50000"/>
              </a:schemeClr>
            </a:solidFill>
            <a:effectLst/>
          </a:endParaRPr>
        </a:p>
        <a:p>
          <a:endParaRPr lang="en-IN" sz="1100"/>
        </a:p>
      </xdr:txBody>
    </xdr:sp>
    <xdr:clientData/>
  </xdr:oneCellAnchor>
  <xdr:oneCellAnchor>
    <xdr:from>
      <xdr:col>12</xdr:col>
      <xdr:colOff>0</xdr:colOff>
      <xdr:row>15</xdr:row>
      <xdr:rowOff>114300</xdr:rowOff>
    </xdr:from>
    <xdr:ext cx="2324100" cy="342786"/>
    <xdr:sp macro="" textlink="">
      <xdr:nvSpPr>
        <xdr:cNvPr id="16" name="TextBox 15"/>
        <xdr:cNvSpPr txBox="1"/>
      </xdr:nvSpPr>
      <xdr:spPr>
        <a:xfrm>
          <a:off x="7105650" y="2971800"/>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endParaRPr lang="en-IN" sz="1600" b="1"/>
        </a:p>
      </xdr:txBody>
    </xdr:sp>
    <xdr:clientData/>
  </xdr:oneCellAnchor>
  <xdr:oneCellAnchor>
    <xdr:from>
      <xdr:col>16</xdr:col>
      <xdr:colOff>361951</xdr:colOff>
      <xdr:row>15</xdr:row>
      <xdr:rowOff>47626</xdr:rowOff>
    </xdr:from>
    <xdr:ext cx="4057650" cy="380999"/>
    <xdr:sp macro="" textlink="">
      <xdr:nvSpPr>
        <xdr:cNvPr id="18" name="TextBox 17"/>
        <xdr:cNvSpPr txBox="1"/>
      </xdr:nvSpPr>
      <xdr:spPr>
        <a:xfrm>
          <a:off x="9906001" y="2905126"/>
          <a:ext cx="4057650" cy="38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Top</a:t>
          </a:r>
          <a:r>
            <a:rPr lang="en-IN" sz="1600" b="1" baseline="0"/>
            <a:t> 3  Selling Product</a:t>
          </a:r>
        </a:p>
        <a:p>
          <a:endParaRPr lang="en-IN" sz="1600" b="1"/>
        </a:p>
      </xdr:txBody>
    </xdr:sp>
    <xdr:clientData/>
  </xdr:oneCellAnchor>
  <xdr:oneCellAnchor>
    <xdr:from>
      <xdr:col>16</xdr:col>
      <xdr:colOff>352425</xdr:colOff>
      <xdr:row>27</xdr:row>
      <xdr:rowOff>114300</xdr:rowOff>
    </xdr:from>
    <xdr:ext cx="2679699" cy="409575"/>
    <xdr:sp macro="" textlink="">
      <xdr:nvSpPr>
        <xdr:cNvPr id="19" name="TextBox 18"/>
        <xdr:cNvSpPr txBox="1"/>
      </xdr:nvSpPr>
      <xdr:spPr>
        <a:xfrm>
          <a:off x="9813925" y="5257800"/>
          <a:ext cx="2679699"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Top</a:t>
          </a:r>
          <a:r>
            <a:rPr lang="en-IN" sz="1600" b="1" baseline="0"/>
            <a:t> 3 less Selling Product</a:t>
          </a:r>
          <a:endParaRPr lang="en-IN" sz="1600" b="1"/>
        </a:p>
      </xdr:txBody>
    </xdr:sp>
    <xdr:clientData/>
  </xdr:oneCellAnchor>
  <xdr:oneCellAnchor>
    <xdr:from>
      <xdr:col>10</xdr:col>
      <xdr:colOff>371475</xdr:colOff>
      <xdr:row>29</xdr:row>
      <xdr:rowOff>161925</xdr:rowOff>
    </xdr:from>
    <xdr:ext cx="266291" cy="1076324"/>
    <xdr:sp macro="" textlink="">
      <xdr:nvSpPr>
        <xdr:cNvPr id="20" name="TextBox 19"/>
        <xdr:cNvSpPr txBox="1"/>
      </xdr:nvSpPr>
      <xdr:spPr>
        <a:xfrm>
          <a:off x="6257925" y="5686425"/>
          <a:ext cx="266291" cy="1076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A</a:t>
          </a:r>
        </a:p>
      </xdr:txBody>
    </xdr:sp>
    <xdr:clientData/>
  </xdr:oneCellAnchor>
  <xdr:oneCellAnchor>
    <xdr:from>
      <xdr:col>1</xdr:col>
      <xdr:colOff>200025</xdr:colOff>
      <xdr:row>17</xdr:row>
      <xdr:rowOff>85725</xdr:rowOff>
    </xdr:from>
    <xdr:ext cx="1419225" cy="428625"/>
    <xdr:sp macro="" textlink="">
      <xdr:nvSpPr>
        <xdr:cNvPr id="21" name="TextBox 20">
          <a:hlinkClick xmlns:r="http://schemas.openxmlformats.org/officeDocument/2006/relationships" r:id="rId3"/>
        </xdr:cNvPr>
        <xdr:cNvSpPr txBox="1"/>
      </xdr:nvSpPr>
      <xdr:spPr>
        <a:xfrm>
          <a:off x="685800" y="3324225"/>
          <a:ext cx="1419225" cy="428625"/>
        </a:xfrm>
        <a:prstGeom prst="roundRect">
          <a:avLst/>
        </a:prstGeom>
        <a:solidFill>
          <a:schemeClr val="bg1"/>
        </a:solidFill>
        <a:ln w="28575">
          <a:solidFill>
            <a:schemeClr val="bg1"/>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1"/>
              </a:solidFill>
            </a:rPr>
            <a:t>Products</a:t>
          </a:r>
        </a:p>
      </xdr:txBody>
    </xdr:sp>
    <xdr:clientData/>
  </xdr:oneCellAnchor>
  <xdr:oneCellAnchor>
    <xdr:from>
      <xdr:col>1</xdr:col>
      <xdr:colOff>180975</xdr:colOff>
      <xdr:row>20</xdr:row>
      <xdr:rowOff>104775</xdr:rowOff>
    </xdr:from>
    <xdr:ext cx="1419225" cy="428625"/>
    <xdr:sp macro="" textlink="">
      <xdr:nvSpPr>
        <xdr:cNvPr id="22" name="TextBox 21">
          <a:hlinkClick xmlns:r="http://schemas.openxmlformats.org/officeDocument/2006/relationships" r:id="rId4"/>
        </xdr:cNvPr>
        <xdr:cNvSpPr txBox="1"/>
      </xdr:nvSpPr>
      <xdr:spPr>
        <a:xfrm>
          <a:off x="666750" y="39147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Salesman</a:t>
          </a:r>
        </a:p>
      </xdr:txBody>
    </xdr:sp>
    <xdr:clientData/>
  </xdr:oneCellAnchor>
  <xdr:oneCellAnchor>
    <xdr:from>
      <xdr:col>1</xdr:col>
      <xdr:colOff>190500</xdr:colOff>
      <xdr:row>23</xdr:row>
      <xdr:rowOff>142875</xdr:rowOff>
    </xdr:from>
    <xdr:ext cx="1419225" cy="428625"/>
    <xdr:sp macro="" textlink="">
      <xdr:nvSpPr>
        <xdr:cNvPr id="23" name="TextBox 22">
          <a:hlinkClick xmlns:r="http://schemas.openxmlformats.org/officeDocument/2006/relationships" r:id="rId5"/>
        </xdr:cNvPr>
        <xdr:cNvSpPr txBox="1"/>
      </xdr:nvSpPr>
      <xdr:spPr>
        <a:xfrm>
          <a:off x="676275" y="45243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About</a:t>
          </a:r>
        </a:p>
      </xdr:txBody>
    </xdr:sp>
    <xdr:clientData/>
  </xdr:oneCellAnchor>
  <xdr:oneCellAnchor>
    <xdr:from>
      <xdr:col>4</xdr:col>
      <xdr:colOff>447675</xdr:colOff>
      <xdr:row>11</xdr:row>
      <xdr:rowOff>133349</xdr:rowOff>
    </xdr:from>
    <xdr:ext cx="2209800" cy="619126"/>
    <xdr:sp macro="" textlink="">
      <xdr:nvSpPr>
        <xdr:cNvPr id="24" name="TextBox 23"/>
        <xdr:cNvSpPr txBox="1"/>
      </xdr:nvSpPr>
      <xdr:spPr>
        <a:xfrm>
          <a:off x="2676525" y="2228849"/>
          <a:ext cx="2209800" cy="619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400" b="1"/>
            <a:t>ANALYTICS</a:t>
          </a:r>
        </a:p>
      </xdr:txBody>
    </xdr:sp>
    <xdr:clientData/>
  </xdr:oneCellAnchor>
  <xdr:oneCellAnchor>
    <xdr:from>
      <xdr:col>4</xdr:col>
      <xdr:colOff>225425</xdr:colOff>
      <xdr:row>15</xdr:row>
      <xdr:rowOff>149225</xdr:rowOff>
    </xdr:from>
    <xdr:ext cx="2324100" cy="342786"/>
    <xdr:sp macro="" textlink="">
      <xdr:nvSpPr>
        <xdr:cNvPr id="29" name="TextBox 28"/>
        <xdr:cNvSpPr txBox="1"/>
      </xdr:nvSpPr>
      <xdr:spPr>
        <a:xfrm>
          <a:off x="2447925" y="3006725"/>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600" b="1"/>
            <a:t>Sale</a:t>
          </a:r>
          <a:r>
            <a:rPr lang="en-IN" sz="1600" b="1" baseline="0"/>
            <a:t> By Products</a:t>
          </a:r>
        </a:p>
      </xdr:txBody>
    </xdr:sp>
    <xdr:clientData/>
  </xdr:oneCellAnchor>
  <xdr:twoCellAnchor editAs="oneCell">
    <xdr:from>
      <xdr:col>4</xdr:col>
      <xdr:colOff>50347</xdr:colOff>
      <xdr:row>8</xdr:row>
      <xdr:rowOff>1360</xdr:rowOff>
    </xdr:from>
    <xdr:to>
      <xdr:col>28</xdr:col>
      <xdr:colOff>408214</xdr:colOff>
      <xdr:row>11</xdr:row>
      <xdr:rowOff>58510</xdr:rowOff>
    </xdr:to>
    <mc:AlternateContent xmlns:mc="http://schemas.openxmlformats.org/markup-compatibility/2006">
      <mc:Choice xmlns:a14="http://schemas.microsoft.com/office/drawing/2010/main" Requires="a14">
        <xdr:graphicFrame macro="">
          <xdr:nvGraphicFramePr>
            <xdr:cNvPr id="27" name="Item 2"/>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2281918" y="1525360"/>
              <a:ext cx="15053582"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204107</xdr:colOff>
      <xdr:row>2</xdr:row>
      <xdr:rowOff>14967</xdr:rowOff>
    </xdr:from>
    <xdr:to>
      <xdr:col>28</xdr:col>
      <xdr:colOff>356507</xdr:colOff>
      <xdr:row>7</xdr:row>
      <xdr:rowOff>149679</xdr:rowOff>
    </xdr:to>
    <mc:AlternateContent xmlns:mc="http://schemas.openxmlformats.org/markup-compatibility/2006">
      <mc:Choice xmlns:a14="http://schemas.microsoft.com/office/drawing/2010/main" Requires="a14">
        <xdr:graphicFrame macro="">
          <xdr:nvGraphicFramePr>
            <xdr:cNvPr id="28"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4069786" y="395967"/>
              <a:ext cx="3214007" cy="108721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425903</xdr:colOff>
      <xdr:row>16</xdr:row>
      <xdr:rowOff>163286</xdr:rowOff>
    </xdr:from>
    <xdr:to>
      <xdr:col>28</xdr:col>
      <xdr:colOff>285750</xdr:colOff>
      <xdr:row>25</xdr:row>
      <xdr:rowOff>142195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428624</xdr:colOff>
      <xdr:row>29</xdr:row>
      <xdr:rowOff>81643</xdr:rowOff>
    </xdr:from>
    <xdr:to>
      <xdr:col>28</xdr:col>
      <xdr:colOff>272143</xdr:colOff>
      <xdr:row>39</xdr:row>
      <xdr:rowOff>29256</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176439</xdr:colOff>
      <xdr:row>17</xdr:row>
      <xdr:rowOff>68036</xdr:rowOff>
    </xdr:from>
    <xdr:to>
      <xdr:col>16</xdr:col>
      <xdr:colOff>136071</xdr:colOff>
      <xdr:row>39</xdr:row>
      <xdr:rowOff>119515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81643</xdr:colOff>
      <xdr:row>2</xdr:row>
      <xdr:rowOff>13608</xdr:rowOff>
    </xdr:from>
    <xdr:to>
      <xdr:col>23</xdr:col>
      <xdr:colOff>40820</xdr:colOff>
      <xdr:row>7</xdr:row>
      <xdr:rowOff>136072</xdr:rowOff>
    </xdr:to>
    <xdr:sp macro="" textlink="">
      <xdr:nvSpPr>
        <xdr:cNvPr id="36" name="Rounded Rectangle 35"/>
        <xdr:cNvSpPr/>
      </xdr:nvSpPr>
      <xdr:spPr>
        <a:xfrm>
          <a:off x="2313214" y="394608"/>
          <a:ext cx="11593285" cy="1074964"/>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204108</xdr:colOff>
      <xdr:row>2</xdr:row>
      <xdr:rowOff>108857</xdr:rowOff>
    </xdr:from>
    <xdr:to>
      <xdr:col>22</xdr:col>
      <xdr:colOff>517071</xdr:colOff>
      <xdr:row>7</xdr:row>
      <xdr:rowOff>36740</xdr:rowOff>
    </xdr:to>
    <xdr:sp macro="" textlink="">
      <xdr:nvSpPr>
        <xdr:cNvPr id="37" name="Rounded Rectangle 36"/>
        <xdr:cNvSpPr/>
      </xdr:nvSpPr>
      <xdr:spPr>
        <a:xfrm>
          <a:off x="2435679" y="489857"/>
          <a:ext cx="11334749" cy="880383"/>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600" b="1" u="sng">
            <a:solidFill>
              <a:schemeClr val="accent1"/>
            </a:solidFill>
          </a:endParaRPr>
        </a:p>
      </xdr:txBody>
    </xdr:sp>
    <xdr:clientData/>
  </xdr:twoCellAnchor>
  <xdr:twoCellAnchor editAs="oneCell">
    <xdr:from>
      <xdr:col>7</xdr:col>
      <xdr:colOff>136072</xdr:colOff>
      <xdr:row>1</xdr:row>
      <xdr:rowOff>163285</xdr:rowOff>
    </xdr:from>
    <xdr:to>
      <xdr:col>19</xdr:col>
      <xdr:colOff>341814</xdr:colOff>
      <xdr:row>8</xdr:row>
      <xdr:rowOff>128346</xdr:rowOff>
    </xdr:to>
    <xdr:pic>
      <xdr:nvPicPr>
        <xdr:cNvPr id="10" name="Picture 9"/>
        <xdr:cNvPicPr>
          <a:picLocks noChangeAspect="1"/>
        </xdr:cNvPicPr>
      </xdr:nvPicPr>
      <xdr:blipFill>
        <a:blip xmlns:r="http://schemas.openxmlformats.org/officeDocument/2006/relationships" r:embed="rId9"/>
        <a:stretch>
          <a:fillRect/>
        </a:stretch>
      </xdr:blipFill>
      <xdr:spPr>
        <a:xfrm>
          <a:off x="4204608" y="353785"/>
          <a:ext cx="7553599" cy="1298561"/>
        </a:xfrm>
        <a:prstGeom prst="rect">
          <a:avLst/>
        </a:prstGeom>
      </xdr:spPr>
    </xdr:pic>
    <xdr:clientData/>
  </xdr:twoCellAnchor>
  <xdr:twoCellAnchor editAs="oneCell">
    <xdr:from>
      <xdr:col>1</xdr:col>
      <xdr:colOff>260048</xdr:colOff>
      <xdr:row>3</xdr:row>
      <xdr:rowOff>95251</xdr:rowOff>
    </xdr:from>
    <xdr:to>
      <xdr:col>3</xdr:col>
      <xdr:colOff>408215</xdr:colOff>
      <xdr:row>11</xdr:row>
      <xdr:rowOff>162523</xdr:rowOff>
    </xdr:to>
    <xdr:pic>
      <xdr:nvPicPr>
        <xdr:cNvPr id="11" name="Picture 1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49905" y="666751"/>
          <a:ext cx="1277560" cy="159127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104776</xdr:colOff>
      <xdr:row>1</xdr:row>
      <xdr:rowOff>123825</xdr:rowOff>
    </xdr:from>
    <xdr:to>
      <xdr:col>26</xdr:col>
      <xdr:colOff>104776</xdr:colOff>
      <xdr:row>40</xdr:row>
      <xdr:rowOff>104775</xdr:rowOff>
    </xdr:to>
    <xdr:sp macro="" textlink="">
      <xdr:nvSpPr>
        <xdr:cNvPr id="2" name="Rounded Rectangle 1"/>
        <xdr:cNvSpPr/>
      </xdr:nvSpPr>
      <xdr:spPr>
        <a:xfrm>
          <a:off x="714376" y="314325"/>
          <a:ext cx="15240000" cy="7410450"/>
        </a:xfrm>
        <a:prstGeom prst="roundRect">
          <a:avLst>
            <a:gd name="adj" fmla="val 329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581025</xdr:colOff>
      <xdr:row>1</xdr:row>
      <xdr:rowOff>123825</xdr:rowOff>
    </xdr:from>
    <xdr:to>
      <xdr:col>28</xdr:col>
      <xdr:colOff>457200</xdr:colOff>
      <xdr:row>40</xdr:row>
      <xdr:rowOff>104775</xdr:rowOff>
    </xdr:to>
    <xdr:sp macro="" textlink="">
      <xdr:nvSpPr>
        <xdr:cNvPr id="3" name="Rounded Rectangle 2"/>
        <xdr:cNvSpPr/>
      </xdr:nvSpPr>
      <xdr:spPr>
        <a:xfrm>
          <a:off x="2200275" y="314325"/>
          <a:ext cx="15116175" cy="7410450"/>
        </a:xfrm>
        <a:prstGeom prst="roundRect">
          <a:avLst>
            <a:gd name="adj" fmla="val 3299"/>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editAs="oneCell">
    <xdr:from>
      <xdr:col>4</xdr:col>
      <xdr:colOff>28576</xdr:colOff>
      <xdr:row>11</xdr:row>
      <xdr:rowOff>142876</xdr:rowOff>
    </xdr:from>
    <xdr:to>
      <xdr:col>4</xdr:col>
      <xdr:colOff>466726</xdr:colOff>
      <xdr:row>14</xdr:row>
      <xdr:rowOff>9526</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6976" y="2238376"/>
          <a:ext cx="438150" cy="438150"/>
        </a:xfrm>
        <a:prstGeom prst="rect">
          <a:avLst/>
        </a:prstGeom>
      </xdr:spPr>
    </xdr:pic>
    <xdr:clientData/>
  </xdr:twoCellAnchor>
  <xdr:oneCellAnchor>
    <xdr:from>
      <xdr:col>5</xdr:col>
      <xdr:colOff>123825</xdr:colOff>
      <xdr:row>4</xdr:row>
      <xdr:rowOff>47625</xdr:rowOff>
    </xdr:from>
    <xdr:ext cx="184731" cy="264560"/>
    <xdr:sp macro="" textlink="">
      <xdr:nvSpPr>
        <xdr:cNvPr id="8" name="TextBox 7"/>
        <xdr:cNvSpPr txBox="1"/>
      </xdr:nvSpPr>
      <xdr:spPr>
        <a:xfrm>
          <a:off x="3171825" y="809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200025</xdr:colOff>
      <xdr:row>14</xdr:row>
      <xdr:rowOff>76200</xdr:rowOff>
    </xdr:from>
    <xdr:ext cx="1419225" cy="428625"/>
    <xdr:sp macro="" textlink="">
      <xdr:nvSpPr>
        <xdr:cNvPr id="9" name="TextBox 8">
          <a:hlinkClick xmlns:r="http://schemas.openxmlformats.org/officeDocument/2006/relationships" r:id="rId2"/>
        </xdr:cNvPr>
        <xdr:cNvSpPr txBox="1"/>
      </xdr:nvSpPr>
      <xdr:spPr>
        <a:xfrm>
          <a:off x="685800" y="2743200"/>
          <a:ext cx="1419225" cy="428625"/>
        </a:xfrm>
        <a:prstGeom prst="round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t>Dashboard</a:t>
          </a:r>
        </a:p>
      </xdr:txBody>
    </xdr:sp>
    <xdr:clientData/>
  </xdr:oneCellAnchor>
  <xdr:twoCellAnchor>
    <xdr:from>
      <xdr:col>16</xdr:col>
      <xdr:colOff>352425</xdr:colOff>
      <xdr:row>15</xdr:row>
      <xdr:rowOff>28575</xdr:rowOff>
    </xdr:from>
    <xdr:to>
      <xdr:col>28</xdr:col>
      <xdr:colOff>381000</xdr:colOff>
      <xdr:row>26</xdr:row>
      <xdr:rowOff>57150</xdr:rowOff>
    </xdr:to>
    <xdr:sp macro="" textlink="">
      <xdr:nvSpPr>
        <xdr:cNvPr id="11" name="Rectangle 10"/>
        <xdr:cNvSpPr/>
      </xdr:nvSpPr>
      <xdr:spPr>
        <a:xfrm>
          <a:off x="9896475" y="2886075"/>
          <a:ext cx="7343775" cy="21240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 By monthsV</a:t>
          </a:r>
        </a:p>
      </xdr:txBody>
    </xdr:sp>
    <xdr:clientData/>
  </xdr:twoCellAnchor>
  <xdr:twoCellAnchor>
    <xdr:from>
      <xdr:col>16</xdr:col>
      <xdr:colOff>314324</xdr:colOff>
      <xdr:row>27</xdr:row>
      <xdr:rowOff>85725</xdr:rowOff>
    </xdr:from>
    <xdr:to>
      <xdr:col>28</xdr:col>
      <xdr:colOff>380999</xdr:colOff>
      <xdr:row>39</xdr:row>
      <xdr:rowOff>142874</xdr:rowOff>
    </xdr:to>
    <xdr:sp macro="" textlink="">
      <xdr:nvSpPr>
        <xdr:cNvPr id="12" name="Rectangle 11"/>
        <xdr:cNvSpPr/>
      </xdr:nvSpPr>
      <xdr:spPr>
        <a:xfrm>
          <a:off x="9858374" y="5229225"/>
          <a:ext cx="7381875" cy="234314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85724</xdr:colOff>
      <xdr:row>21</xdr:row>
      <xdr:rowOff>47625</xdr:rowOff>
    </xdr:from>
    <xdr:to>
      <xdr:col>16</xdr:col>
      <xdr:colOff>152399</xdr:colOff>
      <xdr:row>39</xdr:row>
      <xdr:rowOff>180974</xdr:rowOff>
    </xdr:to>
    <xdr:sp macro="" textlink="">
      <xdr:nvSpPr>
        <xdr:cNvPr id="13" name="Rectangle 12"/>
        <xdr:cNvSpPr/>
      </xdr:nvSpPr>
      <xdr:spPr>
        <a:xfrm>
          <a:off x="2314574" y="4048125"/>
          <a:ext cx="7381875" cy="356234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28575</xdr:colOff>
      <xdr:row>15</xdr:row>
      <xdr:rowOff>28576</xdr:rowOff>
    </xdr:from>
    <xdr:to>
      <xdr:col>8</xdr:col>
      <xdr:colOff>495300</xdr:colOff>
      <xdr:row>20</xdr:row>
      <xdr:rowOff>85726</xdr:rowOff>
    </xdr:to>
    <xdr:sp macro="" textlink="">
      <xdr:nvSpPr>
        <xdr:cNvPr id="14" name="Rounded Rectangle 13"/>
        <xdr:cNvSpPr/>
      </xdr:nvSpPr>
      <xdr:spPr>
        <a:xfrm>
          <a:off x="2257425" y="2886076"/>
          <a:ext cx="2905125" cy="1009650"/>
        </a:xfrm>
        <a:prstGeom prst="round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142874</xdr:colOff>
      <xdr:row>15</xdr:row>
      <xdr:rowOff>57150</xdr:rowOff>
    </xdr:from>
    <xdr:to>
      <xdr:col>15</xdr:col>
      <xdr:colOff>342901</xdr:colOff>
      <xdr:row>20</xdr:row>
      <xdr:rowOff>104775</xdr:rowOff>
    </xdr:to>
    <xdr:sp macro="" textlink="">
      <xdr:nvSpPr>
        <xdr:cNvPr id="15" name="Rounded Rectangle 14"/>
        <xdr:cNvSpPr/>
      </xdr:nvSpPr>
      <xdr:spPr>
        <a:xfrm>
          <a:off x="6029324" y="2914650"/>
          <a:ext cx="3248027" cy="1000125"/>
        </a:xfrm>
        <a:prstGeom prst="roundRect">
          <a:avLst/>
        </a:prstGeom>
        <a:solidFill>
          <a:srgbClr val="F9AC1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323850</xdr:colOff>
      <xdr:row>15</xdr:row>
      <xdr:rowOff>38101</xdr:rowOff>
    </xdr:from>
    <xdr:to>
      <xdr:col>9</xdr:col>
      <xdr:colOff>409575</xdr:colOff>
      <xdr:row>20</xdr:row>
      <xdr:rowOff>95251</xdr:rowOff>
    </xdr:to>
    <xdr:sp macro="" textlink="">
      <xdr:nvSpPr>
        <xdr:cNvPr id="16" name="Rounded Rectangle 15"/>
        <xdr:cNvSpPr/>
      </xdr:nvSpPr>
      <xdr:spPr>
        <a:xfrm>
          <a:off x="2552700" y="2895601"/>
          <a:ext cx="3133725" cy="100965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476250</xdr:colOff>
      <xdr:row>15</xdr:row>
      <xdr:rowOff>57150</xdr:rowOff>
    </xdr:from>
    <xdr:to>
      <xdr:col>16</xdr:col>
      <xdr:colOff>142875</xdr:colOff>
      <xdr:row>20</xdr:row>
      <xdr:rowOff>104775</xdr:rowOff>
    </xdr:to>
    <xdr:sp macro="" textlink="">
      <xdr:nvSpPr>
        <xdr:cNvPr id="17" name="Rounded Rectangle 16"/>
        <xdr:cNvSpPr/>
      </xdr:nvSpPr>
      <xdr:spPr>
        <a:xfrm>
          <a:off x="6362700" y="2914650"/>
          <a:ext cx="3324225" cy="10001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514351</xdr:colOff>
      <xdr:row>15</xdr:row>
      <xdr:rowOff>66675</xdr:rowOff>
    </xdr:from>
    <xdr:ext cx="1476374" cy="352425"/>
    <xdr:sp macro="" textlink="">
      <xdr:nvSpPr>
        <xdr:cNvPr id="20" name="TextBox 19"/>
        <xdr:cNvSpPr txBox="1"/>
      </xdr:nvSpPr>
      <xdr:spPr>
        <a:xfrm>
          <a:off x="3352801" y="2924175"/>
          <a:ext cx="1476374"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IN" sz="1600" b="1">
              <a:solidFill>
                <a:schemeClr val="tx1"/>
              </a:solidFill>
              <a:effectLst/>
              <a:latin typeface="+mn-lt"/>
              <a:ea typeface="+mn-ea"/>
              <a:cs typeface="+mn-cs"/>
            </a:rPr>
            <a:t>Total</a:t>
          </a:r>
          <a:r>
            <a:rPr lang="en-IN" sz="1600" b="1" baseline="0">
              <a:solidFill>
                <a:schemeClr val="tx1"/>
              </a:solidFill>
              <a:effectLst/>
              <a:latin typeface="+mn-lt"/>
              <a:ea typeface="+mn-ea"/>
              <a:cs typeface="+mn-cs"/>
            </a:rPr>
            <a:t> Amount</a:t>
          </a:r>
          <a:endParaRPr lang="en-IN" sz="1600">
            <a:effectLst/>
          </a:endParaRPr>
        </a:p>
        <a:p>
          <a:pPr marL="0" marR="0" indent="0" algn="ctr" defTabSz="914400" eaLnBrk="1" fontAlgn="auto" latinLnBrk="0" hangingPunct="1">
            <a:lnSpc>
              <a:spcPct val="100000"/>
            </a:lnSpc>
            <a:spcBef>
              <a:spcPts val="0"/>
            </a:spcBef>
            <a:spcAft>
              <a:spcPts val="0"/>
            </a:spcAft>
            <a:buClrTx/>
            <a:buSzTx/>
            <a:buFontTx/>
            <a:buNone/>
            <a:tabLst/>
            <a:defRPr/>
          </a:pPr>
          <a:endParaRPr lang="en-IN" sz="1600" b="1">
            <a:effectLst/>
          </a:endParaRPr>
        </a:p>
        <a:p>
          <a:endParaRPr lang="en-IN" sz="1200"/>
        </a:p>
      </xdr:txBody>
    </xdr:sp>
    <xdr:clientData/>
  </xdr:oneCellAnchor>
  <xdr:oneCellAnchor>
    <xdr:from>
      <xdr:col>4</xdr:col>
      <xdr:colOff>361950</xdr:colOff>
      <xdr:row>15</xdr:row>
      <xdr:rowOff>85725</xdr:rowOff>
    </xdr:from>
    <xdr:ext cx="695326" cy="1076325"/>
    <xdr:sp macro="" textlink="">
      <xdr:nvSpPr>
        <xdr:cNvPr id="21" name="TextBox 20"/>
        <xdr:cNvSpPr txBox="1"/>
      </xdr:nvSpPr>
      <xdr:spPr>
        <a:xfrm>
          <a:off x="2590800" y="2943225"/>
          <a:ext cx="695326" cy="10763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IN" sz="4800" b="1">
              <a:solidFill>
                <a:schemeClr val="accent3">
                  <a:lumMod val="50000"/>
                </a:schemeClr>
              </a:solidFill>
              <a:effectLst/>
              <a:latin typeface="+mn-lt"/>
              <a:ea typeface="+mn-ea"/>
              <a:cs typeface="+mn-cs"/>
            </a:rPr>
            <a:t>₹</a:t>
          </a:r>
          <a:endParaRPr lang="en-IN" sz="4800" b="1">
            <a:solidFill>
              <a:schemeClr val="accent3">
                <a:lumMod val="50000"/>
              </a:schemeClr>
            </a:solidFill>
            <a:effectLst/>
          </a:endParaRPr>
        </a:p>
        <a:p>
          <a:endParaRPr lang="en-IN" sz="1100"/>
        </a:p>
      </xdr:txBody>
    </xdr:sp>
    <xdr:clientData/>
  </xdr:oneCellAnchor>
  <xdr:oneCellAnchor>
    <xdr:from>
      <xdr:col>12</xdr:col>
      <xdr:colOff>0</xdr:colOff>
      <xdr:row>15</xdr:row>
      <xdr:rowOff>114300</xdr:rowOff>
    </xdr:from>
    <xdr:ext cx="2324100" cy="342786"/>
    <xdr:sp macro="" textlink="">
      <xdr:nvSpPr>
        <xdr:cNvPr id="22" name="TextBox 21"/>
        <xdr:cNvSpPr txBox="1"/>
      </xdr:nvSpPr>
      <xdr:spPr>
        <a:xfrm>
          <a:off x="7105650" y="2971800"/>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600" b="1"/>
            <a:t>Total Sale</a:t>
          </a:r>
        </a:p>
      </xdr:txBody>
    </xdr:sp>
    <xdr:clientData/>
  </xdr:oneCellAnchor>
  <xdr:twoCellAnchor editAs="oneCell">
    <xdr:from>
      <xdr:col>10</xdr:col>
      <xdr:colOff>495300</xdr:colOff>
      <xdr:row>15</xdr:row>
      <xdr:rowOff>171450</xdr:rowOff>
    </xdr:from>
    <xdr:to>
      <xdr:col>12</xdr:col>
      <xdr:colOff>109537</xdr:colOff>
      <xdr:row>19</xdr:row>
      <xdr:rowOff>76200</xdr:rowOff>
    </xdr:to>
    <xdr:pic>
      <xdr:nvPicPr>
        <xdr:cNvPr id="23" name="Picture 2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381750" y="3028950"/>
          <a:ext cx="833437" cy="666750"/>
        </a:xfrm>
        <a:prstGeom prst="rect">
          <a:avLst/>
        </a:prstGeom>
      </xdr:spPr>
    </xdr:pic>
    <xdr:clientData/>
  </xdr:twoCellAnchor>
  <xdr:oneCellAnchor>
    <xdr:from>
      <xdr:col>16</xdr:col>
      <xdr:colOff>361951</xdr:colOff>
      <xdr:row>15</xdr:row>
      <xdr:rowOff>47626</xdr:rowOff>
    </xdr:from>
    <xdr:ext cx="4057650" cy="380999"/>
    <xdr:sp macro="" textlink="">
      <xdr:nvSpPr>
        <xdr:cNvPr id="24" name="TextBox 23"/>
        <xdr:cNvSpPr txBox="1"/>
      </xdr:nvSpPr>
      <xdr:spPr>
        <a:xfrm>
          <a:off x="9906001" y="2905126"/>
          <a:ext cx="4057650" cy="38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Sale By Months</a:t>
          </a:r>
        </a:p>
      </xdr:txBody>
    </xdr:sp>
    <xdr:clientData/>
  </xdr:oneCellAnchor>
  <xdr:oneCellAnchor>
    <xdr:from>
      <xdr:col>16</xdr:col>
      <xdr:colOff>352426</xdr:colOff>
      <xdr:row>27</xdr:row>
      <xdr:rowOff>114300</xdr:rowOff>
    </xdr:from>
    <xdr:ext cx="1647608" cy="409575"/>
    <xdr:sp macro="" textlink="">
      <xdr:nvSpPr>
        <xdr:cNvPr id="25" name="TextBox 24"/>
        <xdr:cNvSpPr txBox="1"/>
      </xdr:nvSpPr>
      <xdr:spPr>
        <a:xfrm>
          <a:off x="9896476" y="5257800"/>
          <a:ext cx="1647608" cy="409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1"/>
            <a:t>Sale By Region</a:t>
          </a:r>
        </a:p>
      </xdr:txBody>
    </xdr:sp>
    <xdr:clientData/>
  </xdr:oneCellAnchor>
  <xdr:oneCellAnchor>
    <xdr:from>
      <xdr:col>10</xdr:col>
      <xdr:colOff>371475</xdr:colOff>
      <xdr:row>29</xdr:row>
      <xdr:rowOff>161925</xdr:rowOff>
    </xdr:from>
    <xdr:ext cx="266291" cy="1076324"/>
    <xdr:sp macro="" textlink="">
      <xdr:nvSpPr>
        <xdr:cNvPr id="26" name="TextBox 25"/>
        <xdr:cNvSpPr txBox="1"/>
      </xdr:nvSpPr>
      <xdr:spPr>
        <a:xfrm>
          <a:off x="6257925" y="5686425"/>
          <a:ext cx="266291" cy="1076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A</a:t>
          </a:r>
        </a:p>
      </xdr:txBody>
    </xdr:sp>
    <xdr:clientData/>
  </xdr:oneCellAnchor>
  <xdr:oneCellAnchor>
    <xdr:from>
      <xdr:col>1</xdr:col>
      <xdr:colOff>200025</xdr:colOff>
      <xdr:row>17</xdr:row>
      <xdr:rowOff>85725</xdr:rowOff>
    </xdr:from>
    <xdr:ext cx="1419225" cy="428625"/>
    <xdr:sp macro="" textlink="">
      <xdr:nvSpPr>
        <xdr:cNvPr id="28" name="TextBox 27">
          <a:hlinkClick xmlns:r="http://schemas.openxmlformats.org/officeDocument/2006/relationships" r:id="rId4"/>
        </xdr:cNvPr>
        <xdr:cNvSpPr txBox="1"/>
      </xdr:nvSpPr>
      <xdr:spPr>
        <a:xfrm>
          <a:off x="685800" y="3324225"/>
          <a:ext cx="1419225" cy="428625"/>
        </a:xfrm>
        <a:prstGeom prst="roundRect">
          <a:avLst/>
        </a:prstGeom>
        <a:solidFill>
          <a:schemeClr val="accent1"/>
        </a:solidFill>
        <a:ln w="28575">
          <a:solidFill>
            <a:schemeClr val="bg1"/>
          </a:solidFill>
          <a:prstDash val="solid"/>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Products</a:t>
          </a:r>
        </a:p>
      </xdr:txBody>
    </xdr:sp>
    <xdr:clientData/>
  </xdr:oneCellAnchor>
  <xdr:oneCellAnchor>
    <xdr:from>
      <xdr:col>1</xdr:col>
      <xdr:colOff>180975</xdr:colOff>
      <xdr:row>20</xdr:row>
      <xdr:rowOff>104775</xdr:rowOff>
    </xdr:from>
    <xdr:ext cx="1419225" cy="428625"/>
    <xdr:sp macro="" textlink="">
      <xdr:nvSpPr>
        <xdr:cNvPr id="29" name="TextBox 28">
          <a:hlinkClick xmlns:r="http://schemas.openxmlformats.org/officeDocument/2006/relationships" r:id="rId5"/>
        </xdr:cNvPr>
        <xdr:cNvSpPr txBox="1"/>
      </xdr:nvSpPr>
      <xdr:spPr>
        <a:xfrm>
          <a:off x="666750" y="39147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Salesman</a:t>
          </a:r>
        </a:p>
      </xdr:txBody>
    </xdr:sp>
    <xdr:clientData/>
  </xdr:oneCellAnchor>
  <xdr:oneCellAnchor>
    <xdr:from>
      <xdr:col>1</xdr:col>
      <xdr:colOff>190500</xdr:colOff>
      <xdr:row>23</xdr:row>
      <xdr:rowOff>142875</xdr:rowOff>
    </xdr:from>
    <xdr:ext cx="1419225" cy="428625"/>
    <xdr:sp macro="" textlink="">
      <xdr:nvSpPr>
        <xdr:cNvPr id="30" name="TextBox 29">
          <a:hlinkClick xmlns:r="http://schemas.openxmlformats.org/officeDocument/2006/relationships" r:id="rId6"/>
        </xdr:cNvPr>
        <xdr:cNvSpPr txBox="1"/>
      </xdr:nvSpPr>
      <xdr:spPr>
        <a:xfrm>
          <a:off x="676275" y="4524375"/>
          <a:ext cx="1419225" cy="428625"/>
        </a:xfrm>
        <a:prstGeom prst="roundRect">
          <a:avLst/>
        </a:prstGeom>
        <a:solidFill>
          <a:schemeClr val="accent1"/>
        </a:solidFill>
        <a:ln w="285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bg1"/>
              </a:solidFill>
            </a:rPr>
            <a:t>About</a:t>
          </a:r>
        </a:p>
      </xdr:txBody>
    </xdr:sp>
    <xdr:clientData/>
  </xdr:oneCellAnchor>
  <xdr:oneCellAnchor>
    <xdr:from>
      <xdr:col>4</xdr:col>
      <xdr:colOff>447675</xdr:colOff>
      <xdr:row>11</xdr:row>
      <xdr:rowOff>133349</xdr:rowOff>
    </xdr:from>
    <xdr:ext cx="2209800" cy="619126"/>
    <xdr:sp macro="" textlink="">
      <xdr:nvSpPr>
        <xdr:cNvPr id="31" name="TextBox 30"/>
        <xdr:cNvSpPr txBox="1"/>
      </xdr:nvSpPr>
      <xdr:spPr>
        <a:xfrm>
          <a:off x="2676525" y="2228849"/>
          <a:ext cx="2209800" cy="619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2400" b="1"/>
            <a:t>ANALYTICS</a:t>
          </a:r>
        </a:p>
      </xdr:txBody>
    </xdr:sp>
    <xdr:clientData/>
  </xdr:oneCellAnchor>
  <xdr:twoCellAnchor editAs="oneCell">
    <xdr:from>
      <xdr:col>4</xdr:col>
      <xdr:colOff>19050</xdr:colOff>
      <xdr:row>8</xdr:row>
      <xdr:rowOff>9525</xdr:rowOff>
    </xdr:from>
    <xdr:to>
      <xdr:col>28</xdr:col>
      <xdr:colOff>419100</xdr:colOff>
      <xdr:row>11</xdr:row>
      <xdr:rowOff>66675</xdr:rowOff>
    </xdr:to>
    <mc:AlternateContent xmlns:mc="http://schemas.openxmlformats.org/markup-compatibility/2006" xmlns:a14="http://schemas.microsoft.com/office/drawing/2010/main">
      <mc:Choice Requires="a14">
        <xdr:graphicFrame macro="">
          <xdr:nvGraphicFramePr>
            <xdr:cNvPr id="33" name="Item 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247900" y="1533525"/>
              <a:ext cx="15030450"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416719</xdr:colOff>
      <xdr:row>2</xdr:row>
      <xdr:rowOff>19049</xdr:rowOff>
    </xdr:from>
    <xdr:to>
      <xdr:col>28</xdr:col>
      <xdr:colOff>381000</xdr:colOff>
      <xdr:row>7</xdr:row>
      <xdr:rowOff>142874</xdr:rowOff>
    </xdr:to>
    <mc:AlternateContent xmlns:mc="http://schemas.openxmlformats.org/markup-compatibility/2006" xmlns:a14="http://schemas.microsoft.com/office/drawing/2010/main">
      <mc:Choice Requires="a14">
        <xdr:graphicFrame macro="">
          <xdr:nvGraphicFramePr>
            <xdr:cNvPr id="3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506575" y="400050"/>
              <a:ext cx="2733675" cy="105727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390524</xdr:colOff>
      <xdr:row>17</xdr:row>
      <xdr:rowOff>0</xdr:rowOff>
    </xdr:from>
    <xdr:to>
      <xdr:col>28</xdr:col>
      <xdr:colOff>276225</xdr:colOff>
      <xdr:row>26</xdr:row>
      <xdr:rowOff>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352425</xdr:colOff>
      <xdr:row>29</xdr:row>
      <xdr:rowOff>76200</xdr:rowOff>
    </xdr:from>
    <xdr:to>
      <xdr:col>28</xdr:col>
      <xdr:colOff>314325</xdr:colOff>
      <xdr:row>39</xdr:row>
      <xdr:rowOff>66676</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4</xdr:col>
      <xdr:colOff>161925</xdr:colOff>
      <xdr:row>21</xdr:row>
      <xdr:rowOff>133350</xdr:rowOff>
    </xdr:from>
    <xdr:ext cx="2324100" cy="342786"/>
    <xdr:sp macro="" textlink="">
      <xdr:nvSpPr>
        <xdr:cNvPr id="37" name="TextBox 36"/>
        <xdr:cNvSpPr txBox="1"/>
      </xdr:nvSpPr>
      <xdr:spPr>
        <a:xfrm>
          <a:off x="2390775" y="4133850"/>
          <a:ext cx="23241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600" b="1"/>
            <a:t>Sale</a:t>
          </a:r>
          <a:r>
            <a:rPr lang="en-IN" sz="1600" b="1" baseline="0"/>
            <a:t> By Products</a:t>
          </a:r>
        </a:p>
      </xdr:txBody>
    </xdr:sp>
    <xdr:clientData/>
  </xdr:oneCellAnchor>
  <xdr:twoCellAnchor>
    <xdr:from>
      <xdr:col>4</xdr:col>
      <xdr:colOff>107949</xdr:colOff>
      <xdr:row>23</xdr:row>
      <xdr:rowOff>31750</xdr:rowOff>
    </xdr:from>
    <xdr:to>
      <xdr:col>16</xdr:col>
      <xdr:colOff>79375</xdr:colOff>
      <xdr:row>39</xdr:row>
      <xdr:rowOff>92075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12</xdr:col>
      <xdr:colOff>154781</xdr:colOff>
      <xdr:row>17</xdr:row>
      <xdr:rowOff>11906</xdr:rowOff>
    </xdr:from>
    <xdr:ext cx="2000249" cy="530658"/>
    <xdr:sp macro="" textlink="'Pivot Table'!N24">
      <xdr:nvSpPr>
        <xdr:cNvPr id="4" name="TextBox 3"/>
        <xdr:cNvSpPr txBox="1"/>
      </xdr:nvSpPr>
      <xdr:spPr>
        <a:xfrm>
          <a:off x="7239000" y="3250406"/>
          <a:ext cx="2000249"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A5DF63C5-3091-4D94-91DB-D0941FD0BF87}" type="TxLink">
            <a:rPr lang="en-IN" sz="2800" b="1"/>
            <a:pPr algn="ctr"/>
            <a:t>100</a:t>
          </a:fld>
          <a:endParaRPr lang="en-IN" sz="2800" b="1"/>
        </a:p>
      </xdr:txBody>
    </xdr:sp>
    <xdr:clientData/>
  </xdr:oneCellAnchor>
  <xdr:oneCellAnchor>
    <xdr:from>
      <xdr:col>5</xdr:col>
      <xdr:colOff>261937</xdr:colOff>
      <xdr:row>16</xdr:row>
      <xdr:rowOff>166686</xdr:rowOff>
    </xdr:from>
    <xdr:ext cx="2309812" cy="530658"/>
    <xdr:sp macro="" textlink="'Pivot Table'!N29">
      <xdr:nvSpPr>
        <xdr:cNvPr id="5" name="TextBox 4"/>
        <xdr:cNvSpPr txBox="1"/>
      </xdr:nvSpPr>
      <xdr:spPr>
        <a:xfrm>
          <a:off x="3095625" y="3214686"/>
          <a:ext cx="230981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80A869B0-2EBF-4AAD-B65D-81F2C9E7D56A}" type="TxLink">
            <a:rPr lang="en-IN" sz="2800" b="1"/>
            <a:pPr algn="ctr"/>
            <a:t>4,40,410.00</a:t>
          </a:fld>
          <a:endParaRPr lang="en-IN" sz="2800" b="1"/>
        </a:p>
      </xdr:txBody>
    </xdr:sp>
    <xdr:clientData/>
  </xdr:oneCellAnchor>
  <xdr:twoCellAnchor>
    <xdr:from>
      <xdr:col>4</xdr:col>
      <xdr:colOff>83343</xdr:colOff>
      <xdr:row>2</xdr:row>
      <xdr:rowOff>35718</xdr:rowOff>
    </xdr:from>
    <xdr:to>
      <xdr:col>23</xdr:col>
      <xdr:colOff>130969</xdr:colOff>
      <xdr:row>7</xdr:row>
      <xdr:rowOff>95250</xdr:rowOff>
    </xdr:to>
    <xdr:sp macro="" textlink="">
      <xdr:nvSpPr>
        <xdr:cNvPr id="10" name="Rounded Rectangle 9"/>
        <xdr:cNvSpPr/>
      </xdr:nvSpPr>
      <xdr:spPr>
        <a:xfrm>
          <a:off x="2309812" y="416718"/>
          <a:ext cx="11584782" cy="1012032"/>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226219</xdr:colOff>
      <xdr:row>2</xdr:row>
      <xdr:rowOff>119063</xdr:rowOff>
    </xdr:from>
    <xdr:to>
      <xdr:col>23</xdr:col>
      <xdr:colOff>0</xdr:colOff>
      <xdr:row>7</xdr:row>
      <xdr:rowOff>11906</xdr:rowOff>
    </xdr:to>
    <xdr:sp macro="" textlink="">
      <xdr:nvSpPr>
        <xdr:cNvPr id="18" name="Rounded Rectangle 17"/>
        <xdr:cNvSpPr/>
      </xdr:nvSpPr>
      <xdr:spPr>
        <a:xfrm>
          <a:off x="2452688" y="500063"/>
          <a:ext cx="11310937" cy="845343"/>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333375</xdr:colOff>
      <xdr:row>2</xdr:row>
      <xdr:rowOff>71437</xdr:rowOff>
    </xdr:from>
    <xdr:ext cx="11096625" cy="937629"/>
    <xdr:sp macro="" textlink="">
      <xdr:nvSpPr>
        <xdr:cNvPr id="19" name="TextBox 18"/>
        <xdr:cNvSpPr txBox="1"/>
      </xdr:nvSpPr>
      <xdr:spPr>
        <a:xfrm>
          <a:off x="2559844" y="452437"/>
          <a:ext cx="11096625"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5400" b="1" u="sng">
              <a:solidFill>
                <a:schemeClr val="accent1"/>
              </a:solidFill>
            </a:rPr>
            <a:t>MADALASHA ENTERPRICES</a:t>
          </a:r>
        </a:p>
      </xdr:txBody>
    </xdr:sp>
    <xdr:clientData/>
  </xdr:oneCellAnchor>
  <xdr:twoCellAnchor editAs="oneCell">
    <xdr:from>
      <xdr:col>1</xdr:col>
      <xdr:colOff>238126</xdr:colOff>
      <xdr:row>3</xdr:row>
      <xdr:rowOff>135732</xdr:rowOff>
    </xdr:from>
    <xdr:to>
      <xdr:col>3</xdr:col>
      <xdr:colOff>384592</xdr:colOff>
      <xdr:row>12</xdr:row>
      <xdr:rowOff>12504</xdr:rowOff>
    </xdr:to>
    <xdr:pic>
      <xdr:nvPicPr>
        <xdr:cNvPr id="41" name="Picture 40"/>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726282" y="707232"/>
          <a:ext cx="1277560" cy="159127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561975</xdr:colOff>
      <xdr:row>4</xdr:row>
      <xdr:rowOff>90487</xdr:rowOff>
    </xdr:from>
    <xdr:to>
      <xdr:col>13</xdr:col>
      <xdr:colOff>66675</xdr:colOff>
      <xdr:row>10</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152399</xdr:colOff>
      <xdr:row>4</xdr:row>
      <xdr:rowOff>85726</xdr:rowOff>
    </xdr:from>
    <xdr:to>
      <xdr:col>16</xdr:col>
      <xdr:colOff>552449</xdr:colOff>
      <xdr:row>9</xdr:row>
      <xdr:rowOff>28576</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4449" y="847726"/>
              <a:ext cx="2333625"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590549</xdr:colOff>
      <xdr:row>0</xdr:row>
      <xdr:rowOff>142876</xdr:rowOff>
    </xdr:from>
    <xdr:to>
      <xdr:col>19</xdr:col>
      <xdr:colOff>609599</xdr:colOff>
      <xdr:row>4</xdr:row>
      <xdr:rowOff>9526</xdr:rowOff>
    </xdr:to>
    <mc:AlternateContent xmlns:mc="http://schemas.openxmlformats.org/markup-compatibility/2006" xmlns:a14="http://schemas.microsoft.com/office/drawing/2010/main">
      <mc:Choice Requires="a14">
        <xdr:graphicFrame macro="">
          <xdr:nvGraphicFramePr>
            <xdr:cNvPr id="4"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666999" y="142876"/>
              <a:ext cx="10868025"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266699</xdr:colOff>
      <xdr:row>10</xdr:row>
      <xdr:rowOff>166688</xdr:rowOff>
    </xdr:from>
    <xdr:to>
      <xdr:col>13</xdr:col>
      <xdr:colOff>38100</xdr:colOff>
      <xdr:row>21</xdr:row>
      <xdr:rowOff>85726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409575</xdr:colOff>
      <xdr:row>26</xdr:row>
      <xdr:rowOff>100012</xdr:rowOff>
    </xdr:from>
    <xdr:to>
      <xdr:col>11</xdr:col>
      <xdr:colOff>257175</xdr:colOff>
      <xdr:row>33</xdr:row>
      <xdr:rowOff>104775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35</xdr:row>
      <xdr:rowOff>42862</xdr:rowOff>
    </xdr:from>
    <xdr:to>
      <xdr:col>10</xdr:col>
      <xdr:colOff>171450</xdr:colOff>
      <xdr:row>42</xdr:row>
      <xdr:rowOff>142875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152399</xdr:colOff>
      <xdr:row>43</xdr:row>
      <xdr:rowOff>119062</xdr:rowOff>
    </xdr:from>
    <xdr:to>
      <xdr:col>10</xdr:col>
      <xdr:colOff>333374</xdr:colOff>
      <xdr:row>50</xdr:row>
      <xdr:rowOff>171450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76199</xdr:colOff>
      <xdr:row>51</xdr:row>
      <xdr:rowOff>66674</xdr:rowOff>
    </xdr:from>
    <xdr:to>
      <xdr:col>10</xdr:col>
      <xdr:colOff>466724</xdr:colOff>
      <xdr:row>59</xdr:row>
      <xdr:rowOff>4761</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xdr:colOff>
      <xdr:row>59</xdr:row>
      <xdr:rowOff>119062</xdr:rowOff>
    </xdr:from>
    <xdr:to>
      <xdr:col>11</xdr:col>
      <xdr:colOff>552450</xdr:colOff>
      <xdr:row>66</xdr:row>
      <xdr:rowOff>104775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38100</xdr:colOff>
      <xdr:row>67</xdr:row>
      <xdr:rowOff>114300</xdr:rowOff>
    </xdr:from>
    <xdr:to>
      <xdr:col>10</xdr:col>
      <xdr:colOff>571500</xdr:colOff>
      <xdr:row>74</xdr:row>
      <xdr:rowOff>4762</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419100</xdr:colOff>
      <xdr:row>75</xdr:row>
      <xdr:rowOff>0</xdr:rowOff>
    </xdr:from>
    <xdr:to>
      <xdr:col>10</xdr:col>
      <xdr:colOff>419100</xdr:colOff>
      <xdr:row>83</xdr:row>
      <xdr:rowOff>157162</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114300</xdr:colOff>
      <xdr:row>35</xdr:row>
      <xdr:rowOff>133349</xdr:rowOff>
    </xdr:from>
    <xdr:to>
      <xdr:col>25</xdr:col>
      <xdr:colOff>457200</xdr:colOff>
      <xdr:row>42</xdr:row>
      <xdr:rowOff>47624</xdr:rowOff>
    </xdr:to>
    <xdr:sp macro="" textlink="">
      <xdr:nvSpPr>
        <xdr:cNvPr id="18" name="Rounded Rectangle 17"/>
        <xdr:cNvSpPr/>
      </xdr:nvSpPr>
      <xdr:spPr>
        <a:xfrm>
          <a:off x="7467600" y="6800849"/>
          <a:ext cx="9363075" cy="1247775"/>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228601</xdr:colOff>
      <xdr:row>36</xdr:row>
      <xdr:rowOff>19050</xdr:rowOff>
    </xdr:from>
    <xdr:to>
      <xdr:col>25</xdr:col>
      <xdr:colOff>352426</xdr:colOff>
      <xdr:row>41</xdr:row>
      <xdr:rowOff>123825</xdr:rowOff>
    </xdr:to>
    <xdr:sp macro="" textlink="">
      <xdr:nvSpPr>
        <xdr:cNvPr id="19" name="Rounded Rectangle 18"/>
        <xdr:cNvSpPr/>
      </xdr:nvSpPr>
      <xdr:spPr>
        <a:xfrm>
          <a:off x="7581901" y="6877050"/>
          <a:ext cx="9144000" cy="1057275"/>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3600" b="1" u="sng">
            <a:solidFill>
              <a:schemeClr val="accent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ardic Singh" refreshedDate="45977.806001273151" createdVersion="4" refreshedVersion="4" minRefreshableVersion="3" recordCount="100">
  <cacheSource type="worksheet">
    <worksheetSource ref="A2:H102" sheet="Data"/>
  </cacheSource>
  <cacheFields count="9">
    <cacheField name="S.No." numFmtId="0">
      <sharedItems containsSemiMixedTypes="0" containsString="0" containsNumber="1" containsInteger="1" minValue="1" maxValue="100"/>
    </cacheField>
    <cacheField name="Date" numFmtId="14">
      <sharedItems containsNonDate="0" containsDate="1" containsMixedTypes="1" minDate="2024-01-01T00:00:00" maxDate="2024-12-31T00:00:00" count="140">
        <d v="2024-01-01T00:00:00"/>
        <d v="2024-01-02T00:00:00"/>
        <d v="2024-01-03T00:00:00"/>
        <d v="2024-01-04T00:00:00"/>
        <d v="2024-01-05T00:00:00"/>
        <d v="2024-01-06T00:00:00"/>
        <d v="2024-01-07T00:00:00"/>
        <d v="2024-01-08T00:00:00"/>
        <d v="2024-01-09T00:00:00"/>
        <d v="2024-01-10T00:00:00"/>
        <d v="2024-01-11T00:00:00"/>
        <d v="2024-01-12T00:00:00"/>
        <d v="2024-01-13T00:00:00"/>
        <d v="2024-01-16T00:00:00"/>
        <d v="2024-01-17T00:00:00"/>
        <d v="2024-01-18T00:00:00"/>
        <d v="2024-01-19T00:00:00"/>
        <d v="2024-01-20T00:00:00"/>
        <d v="2024-01-21T00:00:00"/>
        <d v="2024-01-22T00:00:00"/>
        <d v="2024-01-23T00:00:00"/>
        <d v="2024-02-02T00:00:00"/>
        <d v="2024-02-03T00:00:00"/>
        <d v="2024-02-04T00:00:00"/>
        <d v="2024-02-05T00:00:00"/>
        <d v="2024-02-06T00:00:00"/>
        <d v="2024-02-07T00:00:00"/>
        <d v="2024-02-08T00:00:00"/>
        <d v="2024-02-09T00:00:00"/>
        <d v="2024-02-10T00:00:00"/>
        <d v="2024-02-11T00:00:00"/>
        <d v="2024-02-13T00:00:00"/>
        <d v="2024-02-23T00:00:00"/>
        <d v="2024-02-28T00:00:00"/>
        <d v="2024-03-04T00:00:00"/>
        <d v="2024-03-05T00:00:00"/>
        <d v="2024-03-06T00:00:00"/>
        <d v="2024-03-07T00:00:00"/>
        <d v="2024-03-08T00:00:00"/>
        <d v="2024-03-09T00:00:00"/>
        <d v="2024-03-10T00:00:00"/>
        <d v="2024-03-11T00:00:00"/>
        <d v="2024-03-12T00:00:00"/>
        <d v="2024-03-22T00:00:00"/>
        <d v="2024-03-23T00:00:00"/>
        <d v="2024-03-24T00:00:00"/>
        <d v="2024-03-25T00:00:00"/>
        <d v="2024-04-11T00:00:00"/>
        <d v="2024-04-18T00:00:00"/>
        <d v="2024-04-26T00:00:00"/>
        <d v="2024-04-27T00:00:00"/>
        <d v="2024-04-28T00:00:00"/>
        <d v="2024-05-10T00:00:00"/>
        <d v="2024-05-11T00:00:00"/>
        <d v="2024-05-12T00:00:00"/>
        <d v="2024-05-13T00:00:00"/>
        <d v="2024-05-26T00:00:00"/>
        <d v="2024-06-02T00:00:00"/>
        <d v="2024-06-08T00:00:00"/>
        <d v="2024-06-16T00:00:00"/>
        <d v="2024-06-22T00:00:00"/>
        <d v="2024-07-17T00:00:00"/>
        <d v="2024-07-21T00:00:00"/>
        <d v="2024-07-23T00:00:00"/>
        <d v="2024-08-03T00:00:00"/>
        <d v="2024-08-11T00:00:00"/>
        <d v="2024-08-24T00:00:00"/>
        <d v="2024-09-05T00:00:00"/>
        <d v="2024-09-17T00:00:00"/>
        <d v="2024-09-21T00:00:00"/>
        <d v="2024-09-22T00:00:00"/>
        <d v="2024-09-23T00:00:00"/>
        <d v="2024-10-04T00:00:00"/>
        <d v="2024-10-24T00:00:00"/>
        <d v="2024-10-25T00:00:00"/>
        <d v="2024-10-26T00:00:00"/>
        <d v="2024-10-27T00:00:00"/>
        <d v="2024-11-05T00:00:00"/>
        <d v="2024-11-16T00:00:00"/>
        <d v="2024-11-17T00:00:00"/>
        <d v="2024-11-22T00:00:00"/>
        <d v="2024-12-11T00:00:00"/>
        <d v="2024-12-12T00:00:00"/>
        <d v="2024-12-13T00:00:00"/>
        <d v="2024-12-21T00:00:00"/>
        <d v="2024-12-22T00:00:00"/>
        <d v="2024-12-23T00:00:00"/>
        <d v="2024-12-24T00:00:00"/>
        <d v="2024-12-25T00:00:00"/>
        <d v="2024-12-26T00:00:00"/>
        <d v="2024-12-28T00:00:00"/>
        <d v="2024-12-30T00:00:00"/>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 v="Formula42" f="1"/>
        <s v="Formula43" f="1"/>
        <s v="Formula44" f="1"/>
        <s v="Formula45" f="1"/>
        <s v="Formula46" f="1"/>
        <s v="Formula47" f="1"/>
        <s v="Formula48" f="1"/>
      </sharedItems>
      <fieldGroup par="8"/>
    </cacheField>
    <cacheField name="Salesman" numFmtId="0">
      <sharedItems count="6">
        <s v="Ajit Kumar"/>
        <s v="Rohit Das"/>
        <s v="Ramesh"/>
        <s v="Amit"/>
        <s v="Chandu"/>
        <s v="Sidhu"/>
      </sharedItems>
    </cacheField>
    <cacheField name="Region" numFmtId="0">
      <sharedItems count="4">
        <s v="East"/>
        <s v="West"/>
        <s v="South"/>
        <s v="North"/>
      </sharedItems>
    </cacheField>
    <cacheField name="Item" numFmtId="0">
      <sharedItems count="6">
        <s v="Mouse"/>
        <s v="Scanner"/>
        <s v="Moniter"/>
        <s v="Keyboard"/>
        <s v="Printer"/>
        <s v="Joystick"/>
      </sharedItems>
    </cacheField>
    <cacheField name="Quanti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Date2" numFmtId="0" databaseField="0">
      <fieldGroup base="1">
        <discretePr count="140">
          <x v="21"/>
          <x v="21"/>
          <x v="21"/>
          <x v="21"/>
          <x v="21"/>
          <x v="21"/>
          <x v="21"/>
          <x v="21"/>
          <x v="21"/>
          <x v="21"/>
          <x v="21"/>
          <x v="21"/>
          <x v="21"/>
          <x v="21"/>
          <x v="21"/>
          <x v="21"/>
          <x v="21"/>
          <x v="21"/>
          <x v="21"/>
          <x v="21"/>
          <x v="21"/>
          <x v="49"/>
          <x v="49"/>
          <x v="49"/>
          <x v="49"/>
          <x v="49"/>
          <x v="49"/>
          <x v="49"/>
          <x v="49"/>
          <x v="49"/>
          <x v="49"/>
          <x v="49"/>
          <x v="49"/>
          <x v="49"/>
          <x v="50"/>
          <x v="50"/>
          <x v="50"/>
          <x v="50"/>
          <x v="50"/>
          <x v="50"/>
          <x v="50"/>
          <x v="50"/>
          <x v="50"/>
          <x v="50"/>
          <x v="50"/>
          <x v="50"/>
          <x v="50"/>
          <x v="51"/>
          <x v="51"/>
          <x v="51"/>
          <x v="51"/>
          <x v="51"/>
          <x v="52"/>
          <x v="52"/>
          <x v="52"/>
          <x v="52"/>
          <x v="52"/>
          <x v="53"/>
          <x v="53"/>
          <x v="53"/>
          <x v="53"/>
          <x v="54"/>
          <x v="54"/>
          <x v="54"/>
          <x v="55"/>
          <x v="55"/>
          <x v="55"/>
          <x v="56"/>
          <x v="56"/>
          <x v="56"/>
          <x v="56"/>
          <x v="56"/>
          <x v="57"/>
          <x v="57"/>
          <x v="57"/>
          <x v="57"/>
          <x v="57"/>
          <x v="58"/>
          <x v="58"/>
          <x v="58"/>
          <x v="58"/>
          <x v="59"/>
          <x v="59"/>
          <x v="59"/>
          <x v="59"/>
          <x v="59"/>
          <x v="59"/>
          <x v="59"/>
          <x v="59"/>
          <x v="59"/>
          <x v="59"/>
          <x v="59"/>
          <x v="0"/>
          <x v="1"/>
          <x v="2"/>
          <x v="3"/>
          <x v="4"/>
          <x v="5"/>
          <x v="6"/>
          <x v="7"/>
          <x v="8"/>
          <x v="9"/>
          <x v="10"/>
          <x v="11"/>
          <x v="12"/>
          <x v="13"/>
          <x v="14"/>
          <x v="15"/>
          <x v="16"/>
          <x v="17"/>
          <x v="18"/>
          <x v="19"/>
          <x v="20"/>
          <x v="22"/>
          <x v="23"/>
          <x v="24"/>
          <x v="25"/>
          <x v="26"/>
          <x v="27"/>
          <x v="28"/>
          <x v="29"/>
          <x v="30"/>
          <x v="31"/>
          <x v="32"/>
          <x v="33"/>
          <x v="34"/>
          <x v="35"/>
          <x v="36"/>
          <x v="37"/>
          <x v="38"/>
          <x v="39"/>
          <x v="40"/>
          <x v="41"/>
          <x v="42"/>
          <x v="43"/>
          <x v="44"/>
          <x v="45"/>
          <x v="46"/>
          <x v="47"/>
          <x v="48"/>
        </discretePr>
        <groupItems count="60">
          <s v="Formula1"/>
          <s v="Formula2"/>
          <s v="Formula3"/>
          <s v="Formula4"/>
          <s v="Formula5"/>
          <s v="Formula6"/>
          <s v="Formula7"/>
          <s v="Formula8"/>
          <s v="Formula9"/>
          <s v="Formula10"/>
          <s v="Formula11"/>
          <s v="Formula12"/>
          <s v="Formula13"/>
          <s v="Formula14"/>
          <s v="Formula15"/>
          <s v="Formula16"/>
          <s v="Formula17"/>
          <s v="Formula18"/>
          <s v="Formula19"/>
          <s v="Formula20"/>
          <s v="Formula21"/>
          <s v="Group1"/>
          <s v="Formula22"/>
          <s v="Formula23"/>
          <s v="Formula24"/>
          <s v="Formula25"/>
          <s v="Formula26"/>
          <s v="Formula27"/>
          <s v="Formula28"/>
          <s v="Formula29"/>
          <s v="Formula30"/>
          <s v="Formula31"/>
          <s v="Formula32"/>
          <s v="Formula33"/>
          <s v="Formula34"/>
          <s v="Formula35"/>
          <s v="Formula36"/>
          <s v="Formula37"/>
          <s v="Formula38"/>
          <s v="Formula39"/>
          <s v="Formula40"/>
          <s v="Formula41"/>
          <s v="Formula42"/>
          <s v="Formula43"/>
          <s v="Formula44"/>
          <s v="Formula45"/>
          <s v="Formula46"/>
          <s v="Formula47"/>
          <s v="Formula48"/>
          <s v="Group2"/>
          <s v="Group3"/>
          <s v="Group4"/>
          <s v="Group5"/>
          <s v="Group6"/>
          <s v="Group7"/>
          <s v="Group8"/>
          <s v="Group9"/>
          <s v="Group10"/>
          <s v="Group11"/>
          <s v="Group12"/>
        </groupItems>
      </fieldGroup>
    </cacheField>
  </cacheFields>
  <calculatedItems count="48">
    <calculatedItem>
      <pivotArea cacheIndex="1" outline="0" fieldPosition="0">
        <references count="1">
          <reference field="1" count="1">
            <x v="92"/>
          </reference>
        </references>
      </pivotArea>
    </calculatedItem>
    <calculatedItem>
      <pivotArea cacheIndex="1" outline="0" fieldPosition="0">
        <references count="1">
          <reference field="1" count="1">
            <x v="93"/>
          </reference>
        </references>
      </pivotArea>
    </calculatedItem>
    <calculatedItem>
      <pivotArea cacheIndex="1" outline="0" fieldPosition="0">
        <references count="1">
          <reference field="1" count="1">
            <x v="94"/>
          </reference>
        </references>
      </pivotArea>
    </calculatedItem>
    <calculatedItem>
      <pivotArea cacheIndex="1" outline="0" fieldPosition="0">
        <references count="1">
          <reference field="1" count="1">
            <x v="95"/>
          </reference>
        </references>
      </pivotArea>
    </calculatedItem>
    <calculatedItem>
      <pivotArea cacheIndex="1" outline="0" fieldPosition="0">
        <references count="1">
          <reference field="1" count="1">
            <x v="96"/>
          </reference>
        </references>
      </pivotArea>
    </calculatedItem>
    <calculatedItem>
      <pivotArea cacheIndex="1" outline="0" fieldPosition="0">
        <references count="1">
          <reference field="1" count="1">
            <x v="97"/>
          </reference>
        </references>
      </pivotArea>
    </calculatedItem>
    <calculatedItem>
      <pivotArea cacheIndex="1" outline="0" fieldPosition="0">
        <references count="1">
          <reference field="1" count="1">
            <x v="98"/>
          </reference>
        </references>
      </pivotArea>
    </calculatedItem>
    <calculatedItem>
      <pivotArea cacheIndex="1" outline="0" fieldPosition="0">
        <references count="1">
          <reference field="1" count="1">
            <x v="99"/>
          </reference>
        </references>
      </pivotArea>
    </calculatedItem>
    <calculatedItem>
      <pivotArea cacheIndex="1" outline="0" fieldPosition="0">
        <references count="1">
          <reference field="1" count="1">
            <x v="100"/>
          </reference>
        </references>
      </pivotArea>
    </calculatedItem>
    <calculatedItem>
      <pivotArea cacheIndex="1" outline="0" fieldPosition="0">
        <references count="1">
          <reference field="1" count="1">
            <x v="101"/>
          </reference>
        </references>
      </pivotArea>
    </calculatedItem>
    <calculatedItem>
      <pivotArea cacheIndex="1" outline="0" fieldPosition="0">
        <references count="1">
          <reference field="1" count="1">
            <x v="102"/>
          </reference>
        </references>
      </pivotArea>
    </calculatedItem>
    <calculatedItem>
      <pivotArea cacheIndex="1" outline="0" fieldPosition="0">
        <references count="1">
          <reference field="1" count="1">
            <x v="103"/>
          </reference>
        </references>
      </pivotArea>
    </calculatedItem>
    <calculatedItem>
      <pivotArea cacheIndex="1" outline="0" fieldPosition="0">
        <references count="1">
          <reference field="1" count="1">
            <x v="104"/>
          </reference>
        </references>
      </pivotArea>
    </calculatedItem>
    <calculatedItem>
      <pivotArea cacheIndex="1" outline="0" fieldPosition="0">
        <references count="1">
          <reference field="1" count="1">
            <x v="105"/>
          </reference>
        </references>
      </pivotArea>
    </calculatedItem>
    <calculatedItem>
      <pivotArea cacheIndex="1" outline="0" fieldPosition="0">
        <references count="1">
          <reference field="1" count="1">
            <x v="106"/>
          </reference>
        </references>
      </pivotArea>
    </calculatedItem>
    <calculatedItem>
      <pivotArea cacheIndex="1" outline="0" fieldPosition="0">
        <references count="1">
          <reference field="1" count="1">
            <x v="107"/>
          </reference>
        </references>
      </pivotArea>
    </calculatedItem>
    <calculatedItem>
      <pivotArea cacheIndex="1" outline="0" fieldPosition="0">
        <references count="1">
          <reference field="1" count="1">
            <x v="108"/>
          </reference>
        </references>
      </pivotArea>
    </calculatedItem>
    <calculatedItem>
      <pivotArea cacheIndex="1" outline="0" fieldPosition="0">
        <references count="1">
          <reference field="1" count="1">
            <x v="109"/>
          </reference>
        </references>
      </pivotArea>
    </calculatedItem>
    <calculatedItem>
      <pivotArea cacheIndex="1" outline="0" fieldPosition="0">
        <references count="1">
          <reference field="1" count="1">
            <x v="110"/>
          </reference>
        </references>
      </pivotArea>
    </calculatedItem>
    <calculatedItem>
      <pivotArea cacheIndex="1" outline="0" fieldPosition="0">
        <references count="1">
          <reference field="1" count="1">
            <x v="111"/>
          </reference>
        </references>
      </pivotArea>
    </calculatedItem>
    <calculatedItem>
      <pivotArea cacheIndex="1" outline="0" fieldPosition="0">
        <references count="1">
          <reference field="1" count="1">
            <x v="112"/>
          </reference>
        </references>
      </pivotArea>
    </calculatedItem>
    <calculatedItem>
      <pivotArea cacheIndex="1" outline="0" fieldPosition="0">
        <references count="1">
          <reference field="1" count="1">
            <x v="113"/>
          </reference>
        </references>
      </pivotArea>
    </calculatedItem>
    <calculatedItem>
      <pivotArea cacheIndex="1" outline="0" fieldPosition="0">
        <references count="1">
          <reference field="1" count="1">
            <x v="114"/>
          </reference>
        </references>
      </pivotArea>
    </calculatedItem>
    <calculatedItem>
      <pivotArea cacheIndex="1" outline="0" fieldPosition="0">
        <references count="1">
          <reference field="1" count="1">
            <x v="115"/>
          </reference>
        </references>
      </pivotArea>
    </calculatedItem>
    <calculatedItem>
      <pivotArea cacheIndex="1" outline="0" fieldPosition="0">
        <references count="1">
          <reference field="1" count="1">
            <x v="116"/>
          </reference>
        </references>
      </pivotArea>
    </calculatedItem>
    <calculatedItem>
      <pivotArea cacheIndex="1" outline="0" fieldPosition="0">
        <references count="1">
          <reference field="1" count="1">
            <x v="117"/>
          </reference>
        </references>
      </pivotArea>
    </calculatedItem>
    <calculatedItem>
      <pivotArea cacheIndex="1" outline="0" fieldPosition="0">
        <references count="1">
          <reference field="1" count="1">
            <x v="118"/>
          </reference>
        </references>
      </pivotArea>
    </calculatedItem>
    <calculatedItem>
      <pivotArea cacheIndex="1" outline="0" fieldPosition="0">
        <references count="1">
          <reference field="1" count="1">
            <x v="119"/>
          </reference>
        </references>
      </pivotArea>
    </calculatedItem>
    <calculatedItem>
      <pivotArea cacheIndex="1" outline="0" fieldPosition="0">
        <references count="1">
          <reference field="1" count="1">
            <x v="120"/>
          </reference>
        </references>
      </pivotArea>
    </calculatedItem>
    <calculatedItem>
      <pivotArea cacheIndex="1" outline="0" fieldPosition="0">
        <references count="1">
          <reference field="1" count="1">
            <x v="121"/>
          </reference>
        </references>
      </pivotArea>
    </calculatedItem>
    <calculatedItem>
      <pivotArea cacheIndex="1" outline="0" fieldPosition="0">
        <references count="1">
          <reference field="1" count="1">
            <x v="122"/>
          </reference>
        </references>
      </pivotArea>
    </calculatedItem>
    <calculatedItem>
      <pivotArea cacheIndex="1" outline="0" fieldPosition="0">
        <references count="1">
          <reference field="1" count="1">
            <x v="123"/>
          </reference>
        </references>
      </pivotArea>
    </calculatedItem>
    <calculatedItem>
      <pivotArea cacheIndex="1" outline="0" fieldPosition="0">
        <references count="1">
          <reference field="1" count="1">
            <x v="124"/>
          </reference>
        </references>
      </pivotArea>
    </calculatedItem>
    <calculatedItem>
      <pivotArea cacheIndex="1" outline="0" fieldPosition="0">
        <references count="1">
          <reference field="1" count="1">
            <x v="125"/>
          </reference>
        </references>
      </pivotArea>
    </calculatedItem>
    <calculatedItem>
      <pivotArea cacheIndex="1" outline="0" fieldPosition="0">
        <references count="1">
          <reference field="1" count="1">
            <x v="126"/>
          </reference>
        </references>
      </pivotArea>
    </calculatedItem>
    <calculatedItem>
      <pivotArea cacheIndex="1" outline="0" fieldPosition="0">
        <references count="1">
          <reference field="1" count="1">
            <x v="127"/>
          </reference>
        </references>
      </pivotArea>
    </calculatedItem>
    <calculatedItem>
      <pivotArea cacheIndex="1" outline="0" fieldPosition="0">
        <references count="1">
          <reference field="1" count="1">
            <x v="128"/>
          </reference>
        </references>
      </pivotArea>
    </calculatedItem>
    <calculatedItem>
      <pivotArea cacheIndex="1" outline="0" fieldPosition="0">
        <references count="1">
          <reference field="1" count="1">
            <x v="129"/>
          </reference>
        </references>
      </pivotArea>
    </calculatedItem>
    <calculatedItem>
      <pivotArea cacheIndex="1" outline="0" fieldPosition="0">
        <references count="1">
          <reference field="1" count="1">
            <x v="130"/>
          </reference>
        </references>
      </pivotArea>
    </calculatedItem>
    <calculatedItem>
      <pivotArea cacheIndex="1" outline="0" fieldPosition="0">
        <references count="1">
          <reference field="1" count="1">
            <x v="131"/>
          </reference>
        </references>
      </pivotArea>
    </calculatedItem>
    <calculatedItem>
      <pivotArea cacheIndex="1" outline="0" fieldPosition="0">
        <references count="1">
          <reference field="1" count="1">
            <x v="132"/>
          </reference>
        </references>
      </pivotArea>
    </calculatedItem>
    <calculatedItem>
      <pivotArea cacheIndex="1" outline="0" fieldPosition="0">
        <references count="1">
          <reference field="1" count="1">
            <x v="133"/>
          </reference>
        </references>
      </pivotArea>
    </calculatedItem>
    <calculatedItem>
      <pivotArea cacheIndex="1" outline="0" fieldPosition="0">
        <references count="1">
          <reference field="1" count="1">
            <x v="134"/>
          </reference>
        </references>
      </pivotArea>
    </calculatedItem>
    <calculatedItem>
      <pivotArea cacheIndex="1" outline="0" fieldPosition="0">
        <references count="1">
          <reference field="1" count="1">
            <x v="135"/>
          </reference>
        </references>
      </pivotArea>
    </calculatedItem>
    <calculatedItem>
      <pivotArea cacheIndex="1" outline="0" fieldPosition="0">
        <references count="1">
          <reference field="1" count="1">
            <x v="136"/>
          </reference>
        </references>
      </pivotArea>
    </calculatedItem>
    <calculatedItem>
      <pivotArea cacheIndex="1" outline="0" fieldPosition="0">
        <references count="1">
          <reference field="1" count="1">
            <x v="137"/>
          </reference>
        </references>
      </pivotArea>
    </calculatedItem>
    <calculatedItem>
      <pivotArea cacheIndex="1" outline="0" fieldPosition="0">
        <references count="1">
          <reference field="1" count="1">
            <x v="138"/>
          </reference>
        </references>
      </pivotArea>
    </calculatedItem>
    <calculatedItem>
      <pivotArea cacheIndex="1" outline="0" fieldPosition="0">
        <references count="1">
          <reference field="1" count="1">
            <x v="139"/>
          </reference>
        </references>
      </pivotArea>
    </calculatedItem>
  </calculatedItem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
    <x v="0"/>
    <x v="0"/>
    <x v="0"/>
    <x v="0"/>
    <n v="7"/>
    <n v="210"/>
    <n v="1470"/>
  </r>
  <r>
    <n v="2"/>
    <x v="0"/>
    <x v="1"/>
    <x v="1"/>
    <x v="1"/>
    <n v="6"/>
    <n v="1420"/>
    <n v="8520"/>
  </r>
  <r>
    <n v="3"/>
    <x v="1"/>
    <x v="2"/>
    <x v="2"/>
    <x v="2"/>
    <n v="5"/>
    <n v="1200"/>
    <n v="6000"/>
  </r>
  <r>
    <n v="4"/>
    <x v="2"/>
    <x v="3"/>
    <x v="0"/>
    <x v="3"/>
    <n v="4"/>
    <n v="2100"/>
    <n v="8400"/>
  </r>
  <r>
    <n v="5"/>
    <x v="3"/>
    <x v="4"/>
    <x v="1"/>
    <x v="4"/>
    <n v="3"/>
    <n v="300"/>
    <n v="900"/>
  </r>
  <r>
    <n v="6"/>
    <x v="4"/>
    <x v="5"/>
    <x v="3"/>
    <x v="2"/>
    <n v="2"/>
    <n v="190"/>
    <n v="380"/>
  </r>
  <r>
    <n v="7"/>
    <x v="5"/>
    <x v="0"/>
    <x v="2"/>
    <x v="5"/>
    <n v="7"/>
    <n v="210"/>
    <n v="1470"/>
  </r>
  <r>
    <n v="8"/>
    <x v="5"/>
    <x v="1"/>
    <x v="0"/>
    <x v="0"/>
    <n v="6"/>
    <n v="1420"/>
    <n v="8520"/>
  </r>
  <r>
    <n v="9"/>
    <x v="5"/>
    <x v="2"/>
    <x v="3"/>
    <x v="0"/>
    <n v="5"/>
    <n v="1200"/>
    <n v="6000"/>
  </r>
  <r>
    <n v="10"/>
    <x v="6"/>
    <x v="3"/>
    <x v="1"/>
    <x v="1"/>
    <n v="4"/>
    <n v="2100"/>
    <n v="8400"/>
  </r>
  <r>
    <n v="11"/>
    <x v="7"/>
    <x v="4"/>
    <x v="1"/>
    <x v="2"/>
    <n v="3"/>
    <n v="300"/>
    <n v="900"/>
  </r>
  <r>
    <n v="12"/>
    <x v="8"/>
    <x v="5"/>
    <x v="0"/>
    <x v="3"/>
    <n v="2"/>
    <n v="190"/>
    <n v="380"/>
  </r>
  <r>
    <n v="13"/>
    <x v="9"/>
    <x v="0"/>
    <x v="0"/>
    <x v="4"/>
    <n v="7"/>
    <n v="210"/>
    <n v="1470"/>
  </r>
  <r>
    <n v="14"/>
    <x v="10"/>
    <x v="1"/>
    <x v="2"/>
    <x v="2"/>
    <n v="7"/>
    <n v="1420"/>
    <n v="9940"/>
  </r>
  <r>
    <n v="15"/>
    <x v="11"/>
    <x v="2"/>
    <x v="0"/>
    <x v="5"/>
    <n v="5"/>
    <n v="1200"/>
    <n v="6000"/>
  </r>
  <r>
    <n v="16"/>
    <x v="12"/>
    <x v="3"/>
    <x v="1"/>
    <x v="0"/>
    <n v="6"/>
    <n v="2100"/>
    <n v="12600"/>
  </r>
  <r>
    <n v="17"/>
    <x v="13"/>
    <x v="4"/>
    <x v="2"/>
    <x v="0"/>
    <n v="7"/>
    <n v="300"/>
    <n v="2100"/>
  </r>
  <r>
    <n v="18"/>
    <x v="14"/>
    <x v="5"/>
    <x v="0"/>
    <x v="1"/>
    <n v="6"/>
    <n v="190"/>
    <n v="1140"/>
  </r>
  <r>
    <n v="19"/>
    <x v="15"/>
    <x v="0"/>
    <x v="1"/>
    <x v="2"/>
    <n v="5"/>
    <n v="210"/>
    <n v="1050"/>
  </r>
  <r>
    <n v="20"/>
    <x v="16"/>
    <x v="1"/>
    <x v="3"/>
    <x v="3"/>
    <n v="4"/>
    <n v="1420"/>
    <n v="5680"/>
  </r>
  <r>
    <n v="21"/>
    <x v="17"/>
    <x v="2"/>
    <x v="2"/>
    <x v="4"/>
    <n v="3"/>
    <n v="1200"/>
    <n v="3600"/>
  </r>
  <r>
    <n v="22"/>
    <x v="18"/>
    <x v="3"/>
    <x v="0"/>
    <x v="2"/>
    <n v="2"/>
    <n v="2100"/>
    <n v="4200"/>
  </r>
  <r>
    <n v="23"/>
    <x v="19"/>
    <x v="4"/>
    <x v="3"/>
    <x v="5"/>
    <n v="7"/>
    <n v="300"/>
    <n v="2100"/>
  </r>
  <r>
    <n v="24"/>
    <x v="20"/>
    <x v="5"/>
    <x v="1"/>
    <x v="0"/>
    <n v="6"/>
    <n v="190"/>
    <n v="1140"/>
  </r>
  <r>
    <n v="25"/>
    <x v="21"/>
    <x v="0"/>
    <x v="1"/>
    <x v="0"/>
    <n v="5"/>
    <n v="210"/>
    <n v="1050"/>
  </r>
  <r>
    <n v="26"/>
    <x v="22"/>
    <x v="1"/>
    <x v="0"/>
    <x v="1"/>
    <n v="4"/>
    <n v="1420"/>
    <n v="5680"/>
  </r>
  <r>
    <n v="27"/>
    <x v="23"/>
    <x v="2"/>
    <x v="0"/>
    <x v="2"/>
    <n v="3"/>
    <n v="1200"/>
    <n v="3600"/>
  </r>
  <r>
    <n v="28"/>
    <x v="24"/>
    <x v="3"/>
    <x v="2"/>
    <x v="3"/>
    <n v="2"/>
    <n v="2100"/>
    <n v="4200"/>
  </r>
  <r>
    <n v="29"/>
    <x v="25"/>
    <x v="4"/>
    <x v="0"/>
    <x v="4"/>
    <n v="7"/>
    <n v="300"/>
    <n v="2100"/>
  </r>
  <r>
    <n v="30"/>
    <x v="26"/>
    <x v="5"/>
    <x v="1"/>
    <x v="2"/>
    <n v="6"/>
    <n v="190"/>
    <n v="1140"/>
  </r>
  <r>
    <n v="31"/>
    <x v="27"/>
    <x v="0"/>
    <x v="2"/>
    <x v="5"/>
    <n v="5"/>
    <n v="210"/>
    <n v="1050"/>
  </r>
  <r>
    <n v="32"/>
    <x v="28"/>
    <x v="1"/>
    <x v="0"/>
    <x v="0"/>
    <n v="4"/>
    <n v="1420"/>
    <n v="5680"/>
  </r>
  <r>
    <n v="33"/>
    <x v="29"/>
    <x v="2"/>
    <x v="1"/>
    <x v="0"/>
    <n v="3"/>
    <n v="1200"/>
    <n v="3600"/>
  </r>
  <r>
    <n v="34"/>
    <x v="30"/>
    <x v="3"/>
    <x v="3"/>
    <x v="1"/>
    <n v="2"/>
    <n v="2100"/>
    <n v="4200"/>
  </r>
  <r>
    <n v="35"/>
    <x v="31"/>
    <x v="4"/>
    <x v="2"/>
    <x v="2"/>
    <n v="2"/>
    <n v="300"/>
    <n v="600"/>
  </r>
  <r>
    <n v="36"/>
    <x v="31"/>
    <x v="5"/>
    <x v="0"/>
    <x v="3"/>
    <n v="5"/>
    <n v="190"/>
    <n v="950"/>
  </r>
  <r>
    <n v="37"/>
    <x v="32"/>
    <x v="0"/>
    <x v="3"/>
    <x v="4"/>
    <n v="7"/>
    <n v="210"/>
    <n v="1470"/>
  </r>
  <r>
    <n v="38"/>
    <x v="33"/>
    <x v="1"/>
    <x v="1"/>
    <x v="2"/>
    <n v="6"/>
    <n v="1420"/>
    <n v="8520"/>
  </r>
  <r>
    <n v="39"/>
    <x v="34"/>
    <x v="2"/>
    <x v="1"/>
    <x v="5"/>
    <n v="5"/>
    <n v="1200"/>
    <n v="6000"/>
  </r>
  <r>
    <n v="40"/>
    <x v="35"/>
    <x v="3"/>
    <x v="0"/>
    <x v="0"/>
    <n v="7"/>
    <n v="2100"/>
    <n v="14700"/>
  </r>
  <r>
    <n v="41"/>
    <x v="36"/>
    <x v="4"/>
    <x v="0"/>
    <x v="0"/>
    <n v="7"/>
    <n v="300"/>
    <n v="2100"/>
  </r>
  <r>
    <n v="42"/>
    <x v="37"/>
    <x v="5"/>
    <x v="2"/>
    <x v="1"/>
    <n v="2"/>
    <n v="190"/>
    <n v="380"/>
  </r>
  <r>
    <n v="43"/>
    <x v="38"/>
    <x v="0"/>
    <x v="0"/>
    <x v="2"/>
    <n v="5"/>
    <n v="210"/>
    <n v="1050"/>
  </r>
  <r>
    <n v="44"/>
    <x v="39"/>
    <x v="1"/>
    <x v="1"/>
    <x v="3"/>
    <n v="7"/>
    <n v="1420"/>
    <n v="9940"/>
  </r>
  <r>
    <n v="45"/>
    <x v="40"/>
    <x v="2"/>
    <x v="2"/>
    <x v="4"/>
    <n v="6"/>
    <n v="1200"/>
    <n v="7200"/>
  </r>
  <r>
    <n v="46"/>
    <x v="41"/>
    <x v="3"/>
    <x v="0"/>
    <x v="2"/>
    <n v="5"/>
    <n v="2100"/>
    <n v="10500"/>
  </r>
  <r>
    <n v="47"/>
    <x v="42"/>
    <x v="4"/>
    <x v="1"/>
    <x v="5"/>
    <n v="4"/>
    <n v="300"/>
    <n v="1200"/>
  </r>
  <r>
    <n v="48"/>
    <x v="42"/>
    <x v="5"/>
    <x v="3"/>
    <x v="0"/>
    <n v="3"/>
    <n v="190"/>
    <n v="570"/>
  </r>
  <r>
    <n v="49"/>
    <x v="42"/>
    <x v="0"/>
    <x v="2"/>
    <x v="0"/>
    <n v="2"/>
    <n v="210"/>
    <n v="420"/>
  </r>
  <r>
    <n v="50"/>
    <x v="42"/>
    <x v="1"/>
    <x v="0"/>
    <x v="1"/>
    <n v="7"/>
    <n v="1420"/>
    <n v="9940"/>
  </r>
  <r>
    <n v="51"/>
    <x v="42"/>
    <x v="2"/>
    <x v="3"/>
    <x v="2"/>
    <n v="6"/>
    <n v="1200"/>
    <n v="7200"/>
  </r>
  <r>
    <n v="52"/>
    <x v="43"/>
    <x v="3"/>
    <x v="1"/>
    <x v="3"/>
    <n v="5"/>
    <n v="2100"/>
    <n v="10500"/>
  </r>
  <r>
    <n v="53"/>
    <x v="44"/>
    <x v="4"/>
    <x v="1"/>
    <x v="4"/>
    <n v="4"/>
    <n v="300"/>
    <n v="1200"/>
  </r>
  <r>
    <n v="54"/>
    <x v="45"/>
    <x v="5"/>
    <x v="0"/>
    <x v="2"/>
    <n v="3"/>
    <n v="190"/>
    <n v="570"/>
  </r>
  <r>
    <n v="55"/>
    <x v="46"/>
    <x v="0"/>
    <x v="0"/>
    <x v="5"/>
    <n v="2"/>
    <n v="210"/>
    <n v="420"/>
  </r>
  <r>
    <n v="56"/>
    <x v="47"/>
    <x v="1"/>
    <x v="2"/>
    <x v="0"/>
    <n v="7"/>
    <n v="1420"/>
    <n v="9940"/>
  </r>
  <r>
    <n v="57"/>
    <x v="48"/>
    <x v="2"/>
    <x v="0"/>
    <x v="0"/>
    <n v="6"/>
    <n v="1200"/>
    <n v="7200"/>
  </r>
  <r>
    <n v="58"/>
    <x v="49"/>
    <x v="3"/>
    <x v="1"/>
    <x v="1"/>
    <n v="5"/>
    <n v="2100"/>
    <n v="10500"/>
  </r>
  <r>
    <n v="59"/>
    <x v="50"/>
    <x v="4"/>
    <x v="2"/>
    <x v="2"/>
    <n v="4"/>
    <n v="300"/>
    <n v="1200"/>
  </r>
  <r>
    <n v="60"/>
    <x v="51"/>
    <x v="5"/>
    <x v="0"/>
    <x v="3"/>
    <n v="3"/>
    <n v="190"/>
    <n v="570"/>
  </r>
  <r>
    <n v="61"/>
    <x v="52"/>
    <x v="0"/>
    <x v="1"/>
    <x v="4"/>
    <n v="2"/>
    <n v="210"/>
    <n v="420"/>
  </r>
  <r>
    <n v="62"/>
    <x v="53"/>
    <x v="1"/>
    <x v="3"/>
    <x v="2"/>
    <n v="7"/>
    <n v="1420"/>
    <n v="9940"/>
  </r>
  <r>
    <n v="63"/>
    <x v="54"/>
    <x v="2"/>
    <x v="2"/>
    <x v="5"/>
    <n v="6"/>
    <n v="1200"/>
    <n v="7200"/>
  </r>
  <r>
    <n v="64"/>
    <x v="55"/>
    <x v="3"/>
    <x v="0"/>
    <x v="0"/>
    <n v="5"/>
    <n v="2100"/>
    <n v="10500"/>
  </r>
  <r>
    <n v="65"/>
    <x v="56"/>
    <x v="4"/>
    <x v="3"/>
    <x v="0"/>
    <n v="4"/>
    <n v="300"/>
    <n v="1200"/>
  </r>
  <r>
    <n v="66"/>
    <x v="57"/>
    <x v="5"/>
    <x v="1"/>
    <x v="1"/>
    <n v="3"/>
    <n v="190"/>
    <n v="570"/>
  </r>
  <r>
    <n v="67"/>
    <x v="58"/>
    <x v="0"/>
    <x v="1"/>
    <x v="2"/>
    <n v="2"/>
    <n v="210"/>
    <n v="420"/>
  </r>
  <r>
    <n v="68"/>
    <x v="59"/>
    <x v="1"/>
    <x v="0"/>
    <x v="3"/>
    <n v="7"/>
    <n v="1420"/>
    <n v="9940"/>
  </r>
  <r>
    <n v="69"/>
    <x v="60"/>
    <x v="2"/>
    <x v="0"/>
    <x v="4"/>
    <n v="6"/>
    <n v="1200"/>
    <n v="7200"/>
  </r>
  <r>
    <n v="70"/>
    <x v="61"/>
    <x v="3"/>
    <x v="2"/>
    <x v="2"/>
    <n v="5"/>
    <n v="2100"/>
    <n v="10500"/>
  </r>
  <r>
    <n v="71"/>
    <x v="62"/>
    <x v="4"/>
    <x v="0"/>
    <x v="5"/>
    <n v="4"/>
    <n v="300"/>
    <n v="1200"/>
  </r>
  <r>
    <n v="72"/>
    <x v="63"/>
    <x v="5"/>
    <x v="1"/>
    <x v="0"/>
    <n v="3"/>
    <n v="190"/>
    <n v="570"/>
  </r>
  <r>
    <n v="73"/>
    <x v="64"/>
    <x v="0"/>
    <x v="2"/>
    <x v="0"/>
    <n v="2"/>
    <n v="190"/>
    <n v="380"/>
  </r>
  <r>
    <n v="74"/>
    <x v="65"/>
    <x v="1"/>
    <x v="0"/>
    <x v="1"/>
    <n v="7"/>
    <n v="210"/>
    <n v="1470"/>
  </r>
  <r>
    <n v="75"/>
    <x v="66"/>
    <x v="2"/>
    <x v="1"/>
    <x v="2"/>
    <n v="6"/>
    <n v="1420"/>
    <n v="8520"/>
  </r>
  <r>
    <n v="76"/>
    <x v="67"/>
    <x v="3"/>
    <x v="3"/>
    <x v="3"/>
    <n v="5"/>
    <n v="1200"/>
    <n v="6000"/>
  </r>
  <r>
    <n v="77"/>
    <x v="68"/>
    <x v="4"/>
    <x v="2"/>
    <x v="4"/>
    <n v="4"/>
    <n v="2100"/>
    <n v="8400"/>
  </r>
  <r>
    <n v="78"/>
    <x v="69"/>
    <x v="5"/>
    <x v="0"/>
    <x v="2"/>
    <n v="3"/>
    <n v="300"/>
    <n v="900"/>
  </r>
  <r>
    <n v="79"/>
    <x v="70"/>
    <x v="0"/>
    <x v="3"/>
    <x v="5"/>
    <n v="2"/>
    <n v="190"/>
    <n v="380"/>
  </r>
  <r>
    <n v="80"/>
    <x v="71"/>
    <x v="1"/>
    <x v="1"/>
    <x v="0"/>
    <n v="7"/>
    <n v="210"/>
    <n v="1470"/>
  </r>
  <r>
    <n v="81"/>
    <x v="72"/>
    <x v="2"/>
    <x v="1"/>
    <x v="0"/>
    <n v="6"/>
    <n v="1420"/>
    <n v="8520"/>
  </r>
  <r>
    <n v="82"/>
    <x v="73"/>
    <x v="3"/>
    <x v="0"/>
    <x v="1"/>
    <n v="5"/>
    <n v="1200"/>
    <n v="6000"/>
  </r>
  <r>
    <n v="83"/>
    <x v="74"/>
    <x v="4"/>
    <x v="0"/>
    <x v="2"/>
    <n v="4"/>
    <n v="2100"/>
    <n v="8400"/>
  </r>
  <r>
    <n v="84"/>
    <x v="75"/>
    <x v="5"/>
    <x v="2"/>
    <x v="3"/>
    <n v="3"/>
    <n v="300"/>
    <n v="900"/>
  </r>
  <r>
    <n v="85"/>
    <x v="76"/>
    <x v="0"/>
    <x v="0"/>
    <x v="4"/>
    <n v="2"/>
    <n v="190"/>
    <n v="380"/>
  </r>
  <r>
    <n v="86"/>
    <x v="77"/>
    <x v="1"/>
    <x v="1"/>
    <x v="2"/>
    <n v="7"/>
    <n v="210"/>
    <n v="1470"/>
  </r>
  <r>
    <n v="87"/>
    <x v="78"/>
    <x v="2"/>
    <x v="2"/>
    <x v="5"/>
    <n v="6"/>
    <n v="1420"/>
    <n v="8520"/>
  </r>
  <r>
    <n v="88"/>
    <x v="79"/>
    <x v="3"/>
    <x v="0"/>
    <x v="0"/>
    <n v="5"/>
    <n v="1200"/>
    <n v="6000"/>
  </r>
  <r>
    <n v="89"/>
    <x v="80"/>
    <x v="4"/>
    <x v="1"/>
    <x v="0"/>
    <n v="4"/>
    <n v="2100"/>
    <n v="8400"/>
  </r>
  <r>
    <n v="90"/>
    <x v="81"/>
    <x v="5"/>
    <x v="3"/>
    <x v="1"/>
    <n v="3"/>
    <n v="300"/>
    <n v="900"/>
  </r>
  <r>
    <n v="91"/>
    <x v="82"/>
    <x v="0"/>
    <x v="2"/>
    <x v="2"/>
    <n v="2"/>
    <n v="190"/>
    <n v="380"/>
  </r>
  <r>
    <n v="92"/>
    <x v="83"/>
    <x v="1"/>
    <x v="0"/>
    <x v="3"/>
    <n v="7"/>
    <n v="210"/>
    <n v="1470"/>
  </r>
  <r>
    <n v="93"/>
    <x v="84"/>
    <x v="2"/>
    <x v="3"/>
    <x v="4"/>
    <n v="6"/>
    <n v="1420"/>
    <n v="8520"/>
  </r>
  <r>
    <n v="94"/>
    <x v="85"/>
    <x v="3"/>
    <x v="1"/>
    <x v="2"/>
    <n v="5"/>
    <n v="1200"/>
    <n v="6000"/>
  </r>
  <r>
    <n v="95"/>
    <x v="86"/>
    <x v="4"/>
    <x v="1"/>
    <x v="5"/>
    <n v="4"/>
    <n v="2100"/>
    <n v="8400"/>
  </r>
  <r>
    <n v="96"/>
    <x v="87"/>
    <x v="5"/>
    <x v="0"/>
    <x v="0"/>
    <n v="3"/>
    <n v="300"/>
    <n v="900"/>
  </r>
  <r>
    <n v="97"/>
    <x v="88"/>
    <x v="0"/>
    <x v="0"/>
    <x v="0"/>
    <n v="2"/>
    <n v="190"/>
    <n v="380"/>
  </r>
  <r>
    <n v="98"/>
    <x v="89"/>
    <x v="1"/>
    <x v="2"/>
    <x v="1"/>
    <n v="5"/>
    <n v="210"/>
    <n v="1050"/>
  </r>
  <r>
    <n v="99"/>
    <x v="90"/>
    <x v="2"/>
    <x v="0"/>
    <x v="2"/>
    <n v="7"/>
    <n v="1420"/>
    <n v="9940"/>
  </r>
  <r>
    <n v="100"/>
    <x v="91"/>
    <x v="3"/>
    <x v="1"/>
    <x v="3"/>
    <n v="6"/>
    <n v="1200"/>
    <n v="7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7">
  <location ref="A76:B83"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Row" showAll="0">
      <items count="7">
        <item x="0"/>
        <item x="3"/>
        <item x="4"/>
        <item x="2"/>
        <item x="1"/>
        <item x="5"/>
        <item t="default"/>
      </items>
    </pivotField>
    <pivotField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4">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1"/>
          </reference>
        </references>
      </pivotArea>
    </chartFormat>
    <chartFormat chart="24" format="2">
      <pivotArea type="data" outline="0" fieldPosition="0">
        <references count="2">
          <reference field="4294967294" count="1" selected="0">
            <x v="0"/>
          </reference>
          <reference field="2" count="1" selected="0">
            <x v="2"/>
          </reference>
        </references>
      </pivotArea>
    </chartFormat>
    <chartFormat chart="24" format="3">
      <pivotArea type="data" outline="0" fieldPosition="0">
        <references count="2">
          <reference field="4294967294" count="1" selected="0">
            <x v="0"/>
          </reference>
          <reference field="2" count="1" selected="0">
            <x v="3"/>
          </reference>
        </references>
      </pivotArea>
    </chartFormat>
    <chartFormat chart="24" format="4">
      <pivotArea type="data" outline="0" fieldPosition="0">
        <references count="2">
          <reference field="4294967294" count="1" selected="0">
            <x v="0"/>
          </reference>
          <reference field="2" count="1" selected="0">
            <x v="4"/>
          </reference>
        </references>
      </pivotArea>
    </chartFormat>
    <chartFormat chart="24" format="5">
      <pivotArea type="data" outline="0" fieldPosition="0">
        <references count="2">
          <reference field="4294967294" count="1" selected="0">
            <x v="0"/>
          </reference>
          <reference field="2" count="1" selected="0">
            <x v="5"/>
          </reference>
        </references>
      </pivotArea>
    </chartFormat>
    <chartFormat chart="24" format="6">
      <pivotArea type="data" outline="0" fieldPosition="0">
        <references count="2">
          <reference field="4294967294" count="1" selected="0">
            <x v="0"/>
          </reference>
          <reference field="2" count="1" selected="0">
            <x v="0"/>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2" count="1" selected="0">
            <x v="0"/>
          </reference>
        </references>
      </pivotArea>
    </chartFormat>
    <chartFormat chart="26" format="16">
      <pivotArea type="data" outline="0" fieldPosition="0">
        <references count="2">
          <reference field="4294967294" count="1" selected="0">
            <x v="0"/>
          </reference>
          <reference field="2" count="1" selected="0">
            <x v="1"/>
          </reference>
        </references>
      </pivotArea>
    </chartFormat>
    <chartFormat chart="26" format="17">
      <pivotArea type="data" outline="0" fieldPosition="0">
        <references count="2">
          <reference field="4294967294" count="1" selected="0">
            <x v="0"/>
          </reference>
          <reference field="2" count="1" selected="0">
            <x v="2"/>
          </reference>
        </references>
      </pivotArea>
    </chartFormat>
    <chartFormat chart="26" format="18">
      <pivotArea type="data" outline="0" fieldPosition="0">
        <references count="2">
          <reference field="4294967294" count="1" selected="0">
            <x v="0"/>
          </reference>
          <reference field="2" count="1" selected="0">
            <x v="3"/>
          </reference>
        </references>
      </pivotArea>
    </chartFormat>
    <chartFormat chart="26" format="19">
      <pivotArea type="data" outline="0" fieldPosition="0">
        <references count="2">
          <reference field="4294967294" count="1" selected="0">
            <x v="0"/>
          </reference>
          <reference field="2" count="1" selected="0">
            <x v="4"/>
          </reference>
        </references>
      </pivotArea>
    </chartFormat>
    <chartFormat chart="26"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6">
  <location ref="A69:B73"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Row" showAll="0" measureFilter="1">
      <items count="7">
        <item x="0"/>
        <item x="3"/>
        <item x="4"/>
        <item x="2"/>
        <item x="1"/>
        <item x="5"/>
        <item t="default"/>
      </items>
    </pivotField>
    <pivotField showAll="0">
      <items count="5">
        <item x="0"/>
        <item x="3"/>
        <item x="2"/>
        <item x="1"/>
        <item t="default"/>
      </items>
    </pivotField>
    <pivotField showAll="0">
      <items count="7">
        <item x="5"/>
        <item x="3"/>
        <item x="2"/>
        <item x="0"/>
        <item x="4"/>
        <item x="1"/>
        <item t="default"/>
      </items>
    </pivotField>
    <pivotField dataField="1" showAll="0"/>
    <pivotField showAll="0"/>
    <pivotField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2"/>
  </rowFields>
  <rowItems count="4">
    <i>
      <x/>
    </i>
    <i>
      <x v="2"/>
    </i>
    <i>
      <x v="5"/>
    </i>
    <i t="grand">
      <x/>
    </i>
  </rowItems>
  <colItems count="1">
    <i/>
  </colItems>
  <dataFields count="1">
    <dataField name="Sum of Quantity" fld="5" baseField="0" baseItem="0"/>
  </dataFields>
  <chartFormats count="13">
    <chartFormat chart="21"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 count="1" selected="0">
            <x v="4"/>
          </reference>
        </references>
      </pivotArea>
    </chartFormat>
    <chartFormat chart="22" format="2">
      <pivotArea type="data" outline="0" fieldPosition="0">
        <references count="2">
          <reference field="4294967294" count="1" selected="0">
            <x v="0"/>
          </reference>
          <reference field="2" count="1" selected="0">
            <x v="3"/>
          </reference>
        </references>
      </pivotArea>
    </chartFormat>
    <chartFormat chart="22" format="3">
      <pivotArea type="data" outline="0" fieldPosition="0">
        <references count="2">
          <reference field="4294967294" count="1" selected="0">
            <x v="0"/>
          </reference>
          <reference field="2"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2" count="1" selected="0">
            <x v="5"/>
          </reference>
        </references>
      </pivotArea>
    </chartFormat>
    <chartFormat chart="23" format="2">
      <pivotArea type="data" outline="0" fieldPosition="0">
        <references count="2">
          <reference field="4294967294" count="1" selected="0">
            <x v="0"/>
          </reference>
          <reference field="2" count="1" selected="0">
            <x v="2"/>
          </reference>
        </references>
      </pivotArea>
    </chartFormat>
    <chartFormat chart="23" format="3">
      <pivotArea type="data" outline="0" fieldPosition="0">
        <references count="2">
          <reference field="4294967294" count="1" selected="0">
            <x v="0"/>
          </reference>
          <reference field="2"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2" count="1" selected="0">
            <x v="0"/>
          </reference>
        </references>
      </pivotArea>
    </chartFormat>
    <chartFormat chart="25" format="10">
      <pivotArea type="data" outline="0" fieldPosition="0">
        <references count="2">
          <reference field="4294967294" count="1" selected="0">
            <x v="0"/>
          </reference>
          <reference field="2" count="1" selected="0">
            <x v="2"/>
          </reference>
        </references>
      </pivotArea>
    </chartFormat>
    <chartFormat chart="25" format="1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2"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5">
  <location ref="A62:B66"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axis="axisRow" showAll="0" measureFilter="1">
      <items count="7">
        <item x="0"/>
        <item x="3"/>
        <item x="4"/>
        <item x="2"/>
        <item x="1"/>
        <item x="5"/>
        <item t="default"/>
      </items>
    </pivotField>
    <pivotField showAll="0">
      <items count="5">
        <item x="0"/>
        <item x="3"/>
        <item x="2"/>
        <item x="1"/>
        <item t="default"/>
      </items>
    </pivotField>
    <pivotField showAll="0">
      <items count="7">
        <item x="5"/>
        <item x="3"/>
        <item x="2"/>
        <item x="0"/>
        <item x="4"/>
        <item x="1"/>
        <item t="default"/>
      </items>
    </pivotField>
    <pivotField dataField="1" showAll="0"/>
    <pivotField showAll="0"/>
    <pivotField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2"/>
  </rowFields>
  <rowItems count="4">
    <i>
      <x v="1"/>
    </i>
    <i>
      <x v="3"/>
    </i>
    <i>
      <x v="4"/>
    </i>
    <i t="grand">
      <x/>
    </i>
  </rowItems>
  <colItems count="1">
    <i/>
  </colItems>
  <dataFields count="1">
    <dataField name="Sum of Quantity" fld="5" baseField="0" baseItem="0"/>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 count="1" selected="0">
            <x v="4"/>
          </reference>
        </references>
      </pivotArea>
    </chartFormat>
    <chartFormat chart="22" format="2">
      <pivotArea type="data" outline="0" fieldPosition="0">
        <references count="2">
          <reference field="4294967294" count="1" selected="0">
            <x v="0"/>
          </reference>
          <reference field="2" count="1" selected="0">
            <x v="3"/>
          </reference>
        </references>
      </pivotArea>
    </chartFormat>
    <chartFormat chart="22" format="3">
      <pivotArea type="data" outline="0" fieldPosition="0">
        <references count="2">
          <reference field="4294967294" count="1" selected="0">
            <x v="0"/>
          </reference>
          <reference field="2"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2" count="1" selected="0">
            <x v="1"/>
          </reference>
        </references>
      </pivotArea>
    </chartFormat>
    <chartFormat chart="24" format="10">
      <pivotArea type="data" outline="0" fieldPosition="0">
        <references count="2">
          <reference field="4294967294" count="1" selected="0">
            <x v="0"/>
          </reference>
          <reference field="2" count="1" selected="0">
            <x v="3"/>
          </reference>
        </references>
      </pivotArea>
    </chartFormat>
    <chartFormat chart="24" format="1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M28:M29" firstHeaderRow="1" firstDataRow="1" firstDataCol="0"/>
  <pivotFields count="9">
    <pivotField showAll="0"/>
    <pivotField showAll="0">
      <items count="141">
        <item h="1" f="1" x="92"/>
        <item h="1" f="1" x="101"/>
        <item h="1" f="1" x="102"/>
        <item h="1" f="1" x="103"/>
        <item h="1" f="1" x="104"/>
        <item h="1" f="1" x="105"/>
        <item h="1" f="1" x="106"/>
        <item h="1" f="1" x="107"/>
        <item h="1" f="1" x="108"/>
        <item h="1" f="1" x="109"/>
        <item h="1" f="1" x="110"/>
        <item h="1" f="1" x="93"/>
        <item h="1" f="1" x="111"/>
        <item h="1" f="1" x="112"/>
        <item h="1" f="1" x="94"/>
        <item h="1" f="1" x="95"/>
        <item h="1" f="1" x="96"/>
        <item h="1" f="1" x="97"/>
        <item h="1" f="1" x="98"/>
        <item h="1" f="1" x="99"/>
        <item h="1"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showAll="0" defaultSubtotal="0">
      <items count="60">
        <item h="1" x="0"/>
        <item h="1" x="9"/>
        <item h="1" x="10"/>
        <item h="1" x="11"/>
        <item h="1" x="12"/>
        <item h="1" x="13"/>
        <item h="1" x="14"/>
        <item h="1" x="15"/>
        <item h="1" x="16"/>
        <item h="1" x="17"/>
        <item h="1" x="18"/>
        <item h="1" x="1"/>
        <item h="1" x="19"/>
        <item h="1" x="20"/>
        <item h="1" x="2"/>
        <item h="1" x="3"/>
        <item h="1" x="4"/>
        <item h="1" x="5"/>
        <item h="1" x="6"/>
        <item h="1" x="7"/>
        <item h="1" x="8"/>
        <item sd="0" x="21"/>
        <item sd="0" x="49"/>
        <item sd="0" x="50"/>
        <item sd="0" x="51"/>
        <item sd="0" x="52"/>
        <item sd="0" x="53"/>
        <item sd="0" x="54"/>
        <item sd="0" x="55"/>
        <item sd="0" x="56"/>
        <item sd="0" x="57"/>
        <item sd="0" x="58"/>
        <item sd="0" x="59"/>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M25:M26" firstHeaderRow="1" firstDataRow="1" firstDataCol="0"/>
  <pivotFields count="9">
    <pivotField showAll="0"/>
    <pivotField showAll="0">
      <items count="141">
        <item h="1" f="1" x="92"/>
        <item h="1" f="1" x="101"/>
        <item h="1" f="1" x="102"/>
        <item h="1" f="1" x="103"/>
        <item h="1" f="1" x="104"/>
        <item h="1" f="1" x="105"/>
        <item h="1" f="1" x="106"/>
        <item h="1" f="1" x="107"/>
        <item h="1" f="1" x="108"/>
        <item h="1" f="1" x="109"/>
        <item h="1" f="1" x="110"/>
        <item h="1" f="1" x="93"/>
        <item h="1" f="1" x="111"/>
        <item h="1" f="1" x="112"/>
        <item h="1" f="1" x="94"/>
        <item h="1" f="1" x="95"/>
        <item h="1" f="1" x="96"/>
        <item h="1" f="1" x="97"/>
        <item h="1" f="1" x="98"/>
        <item h="1" f="1" x="99"/>
        <item h="1"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showAll="0" defaultSubtotal="0">
      <items count="60">
        <item h="1" x="0"/>
        <item h="1" x="9"/>
        <item h="1" x="10"/>
        <item h="1" x="11"/>
        <item h="1" x="12"/>
        <item h="1" x="13"/>
        <item h="1" x="14"/>
        <item h="1" x="15"/>
        <item h="1" x="16"/>
        <item h="1" x="17"/>
        <item h="1" x="18"/>
        <item h="1" x="1"/>
        <item h="1" x="19"/>
        <item h="1" x="20"/>
        <item h="1" x="2"/>
        <item h="1" x="3"/>
        <item h="1" x="4"/>
        <item h="1" x="5"/>
        <item h="1" x="6"/>
        <item h="1" x="7"/>
        <item h="1" x="8"/>
        <item sd="0" x="21"/>
        <item sd="0" x="49"/>
        <item sd="0" x="50"/>
        <item sd="0" x="51"/>
        <item sd="0" x="52"/>
        <item sd="0" x="53"/>
        <item sd="0" x="54"/>
        <item sd="0" x="55"/>
        <item sd="0" x="56"/>
        <item sd="0" x="57"/>
        <item sd="0" x="58"/>
        <item sd="0" x="59"/>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s>
    </pivotField>
  </pivotFields>
  <rowItems count="1">
    <i/>
  </rowItems>
  <colItems count="1">
    <i/>
  </colItems>
  <dataFields count="1">
    <dataField name="Sum of Amount" fld="7" baseField="0" baseItem="0" numFmtId="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M23:M24" firstHeaderRow="1" firstDataRow="1" firstDataCol="0"/>
  <pivotFields count="9">
    <pivotField showAll="0"/>
    <pivotField showAll="0">
      <items count="141">
        <item h="1" f="1" x="92"/>
        <item h="1" f="1" x="101"/>
        <item h="1" f="1" x="102"/>
        <item h="1" f="1" x="103"/>
        <item h="1" f="1" x="104"/>
        <item h="1" f="1" x="105"/>
        <item h="1" f="1" x="106"/>
        <item h="1" f="1" x="107"/>
        <item h="1" f="1" x="108"/>
        <item h="1" f="1" x="109"/>
        <item h="1" f="1" x="110"/>
        <item h="1" f="1" x="93"/>
        <item h="1" f="1" x="111"/>
        <item h="1" f="1" x="112"/>
        <item h="1" f="1" x="94"/>
        <item h="1" f="1" x="95"/>
        <item h="1" f="1" x="96"/>
        <item h="1" f="1" x="97"/>
        <item h="1" f="1" x="98"/>
        <item h="1" f="1" x="99"/>
        <item h="1"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showAll="0" defaultSubtotal="0">
      <items count="60">
        <item h="1" x="0"/>
        <item h="1" x="9"/>
        <item h="1" x="10"/>
        <item h="1" x="11"/>
        <item h="1" x="12"/>
        <item h="1" x="13"/>
        <item h="1" x="14"/>
        <item h="1" x="15"/>
        <item h="1" x="16"/>
        <item h="1" x="17"/>
        <item h="1" x="18"/>
        <item h="1" x="1"/>
        <item h="1" x="19"/>
        <item h="1" x="20"/>
        <item h="1" x="2"/>
        <item h="1" x="3"/>
        <item h="1" x="4"/>
        <item h="1" x="5"/>
        <item h="1" x="6"/>
        <item h="1" x="7"/>
        <item h="1" x="8"/>
        <item sd="0" x="21"/>
        <item sd="0" x="49"/>
        <item sd="0" x="50"/>
        <item sd="0" x="51"/>
        <item sd="0" x="52"/>
        <item sd="0" x="53"/>
        <item sd="0" x="54"/>
        <item sd="0" x="55"/>
        <item sd="0" x="56"/>
        <item sd="0" x="57"/>
        <item sd="0" x="58"/>
        <item sd="0" x="59"/>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s>
    </pivotField>
  </pivotFields>
  <rowItems count="1">
    <i/>
  </rowItems>
  <colItems count="1">
    <i/>
  </colItems>
  <dataFields count="1">
    <dataField name="Count of Amount" fld="7" subtotal="count" baseField="0" baseItem="13626888"/>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1">
  <location ref="A53:B60"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axis="axisRow" showAll="0">
      <items count="7">
        <item x="5"/>
        <item x="3"/>
        <item x="2"/>
        <item x="0"/>
        <item x="4"/>
        <item x="1"/>
        <item t="default"/>
      </items>
    </pivotField>
    <pivotField showAll="0"/>
    <pivotField showAll="0"/>
    <pivotField dataField="1"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8">
    <chartFormat chart="9"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8">
  <location ref="A45:B49"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axis="axisRow" showAll="0" measureFilter="1">
      <items count="7">
        <item x="5"/>
        <item x="3"/>
        <item x="2"/>
        <item x="0"/>
        <item x="4"/>
        <item x="1"/>
        <item t="default"/>
      </items>
    </pivotField>
    <pivotField showAll="0"/>
    <pivotField showAll="0"/>
    <pivotField dataField="1"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4"/>
  </rowFields>
  <rowItems count="4">
    <i>
      <x/>
    </i>
    <i>
      <x v="4"/>
    </i>
    <i>
      <x v="5"/>
    </i>
    <i t="grand">
      <x/>
    </i>
  </rowItems>
  <colItems count="1">
    <i/>
  </colItems>
  <dataFields count="1">
    <dataField name="Sum of Amount" fld="7" baseField="0" baseItem="0"/>
  </dataFields>
  <chartFormats count="6">
    <chartFormat chart="9"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36:B40"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axis="axisRow" showAll="0" measureFilter="1">
      <items count="7">
        <item x="5"/>
        <item x="3"/>
        <item x="2"/>
        <item x="0"/>
        <item x="4"/>
        <item x="1"/>
        <item t="default"/>
      </items>
    </pivotField>
    <pivotField showAll="0"/>
    <pivotField showAll="0"/>
    <pivotField dataField="1"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4"/>
  </rowFields>
  <rowItems count="4">
    <i>
      <x v="1"/>
    </i>
    <i>
      <x v="2"/>
    </i>
    <i>
      <x v="3"/>
    </i>
    <i t="grand">
      <x/>
    </i>
  </rowItems>
  <colItems count="1">
    <i/>
  </colItems>
  <dataFields count="1">
    <dataField name="Sum of Amount" fld="7" baseField="0" baseItem="0"/>
  </dataFields>
  <chartFormats count="5">
    <chartFormat chart="9"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2:B15" firstHeaderRow="1" firstDataRow="1" firstDataCol="1"/>
  <pivotFields count="9">
    <pivotField showAll="0"/>
    <pivotField axis="axisRow" showAll="0">
      <items count="141">
        <item h="1" f="1" x="92"/>
        <item h="1" f="1" x="101"/>
        <item h="1" f="1" x="102"/>
        <item h="1" f="1" x="103"/>
        <item h="1" f="1" x="104"/>
        <item h="1" f="1" x="105"/>
        <item h="1" f="1" x="106"/>
        <item h="1" f="1" x="107"/>
        <item h="1" f="1" x="108"/>
        <item h="1" f="1" x="109"/>
        <item h="1" f="1" x="110"/>
        <item h="1" f="1" x="93"/>
        <item h="1" f="1" x="111"/>
        <item h="1" f="1" x="112"/>
        <item h="1" f="1" x="94"/>
        <item h="1" f="1" x="95"/>
        <item h="1" f="1" x="96"/>
        <item h="1" f="1" x="97"/>
        <item h="1" f="1" x="98"/>
        <item h="1" f="1" x="99"/>
        <item h="1"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axis="axisRow" showAll="0" defaultSubtotal="0">
      <items count="60">
        <item h="1" x="0"/>
        <item h="1" x="9"/>
        <item h="1" x="10"/>
        <item h="1" x="11"/>
        <item h="1" x="12"/>
        <item h="1" x="13"/>
        <item h="1" x="14"/>
        <item h="1" x="15"/>
        <item h="1" x="16"/>
        <item h="1" x="17"/>
        <item h="1" x="18"/>
        <item h="1" x="1"/>
        <item h="1" x="19"/>
        <item h="1" x="20"/>
        <item h="1" x="2"/>
        <item h="1" x="3"/>
        <item h="1" x="4"/>
        <item h="1" x="5"/>
        <item h="1" x="6"/>
        <item h="1" x="7"/>
        <item h="1" x="8"/>
        <item sd="0" x="21"/>
        <item sd="0" x="49"/>
        <item sd="0" x="50"/>
        <item sd="0" x="51"/>
        <item sd="0" x="52"/>
        <item sd="0" x="53"/>
        <item sd="0" x="54"/>
        <item sd="0" x="55"/>
        <item sd="0" x="56"/>
        <item sd="0" x="57"/>
        <item sd="0" x="58"/>
        <item sd="0" x="59"/>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s>
    </pivotField>
  </pivotFields>
  <rowFields count="2">
    <field x="8"/>
    <field x="1"/>
  </rowFields>
  <rowItems count="13">
    <i>
      <x v="21"/>
    </i>
    <i>
      <x v="22"/>
    </i>
    <i>
      <x v="23"/>
    </i>
    <i>
      <x v="24"/>
    </i>
    <i>
      <x v="25"/>
    </i>
    <i>
      <x v="26"/>
    </i>
    <i>
      <x v="27"/>
    </i>
    <i>
      <x v="28"/>
    </i>
    <i>
      <x v="29"/>
    </i>
    <i>
      <x v="30"/>
    </i>
    <i>
      <x v="31"/>
    </i>
    <i>
      <x v="32"/>
    </i>
    <i t="grand">
      <x/>
    </i>
  </rowItems>
  <colItems count="1">
    <i/>
  </colItems>
  <dataFields count="1">
    <dataField name="Sum of Amount"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27:B34" firstHeaderRow="1" firstDataRow="1" firstDataCol="1"/>
  <pivotFields count="9">
    <pivotField showAll="0"/>
    <pivotField showAll="0">
      <items count="141">
        <item f="1" x="92"/>
        <item f="1" x="101"/>
        <item f="1" x="102"/>
        <item f="1" x="103"/>
        <item f="1" x="104"/>
        <item f="1" x="105"/>
        <item f="1" x="106"/>
        <item f="1" x="107"/>
        <item f="1" x="108"/>
        <item f="1" x="109"/>
        <item f="1" x="110"/>
        <item f="1" x="93"/>
        <item f="1" x="111"/>
        <item f="1" x="112"/>
        <item f="1" x="94"/>
        <item f="1" x="95"/>
        <item f="1" x="96"/>
        <item f="1" x="97"/>
        <item f="1" x="98"/>
        <item f="1" x="99"/>
        <item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showAll="0">
      <items count="5">
        <item x="0"/>
        <item x="3"/>
        <item x="2"/>
        <item x="1"/>
        <item t="default"/>
      </items>
    </pivotField>
    <pivotField axis="axisRow" showAll="0">
      <items count="7">
        <item x="5"/>
        <item x="3"/>
        <item x="2"/>
        <item x="0"/>
        <item x="4"/>
        <item x="1"/>
        <item t="default"/>
      </items>
    </pivotField>
    <pivotField showAll="0"/>
    <pivotField showAll="0"/>
    <pivotField dataField="1" showAll="0"/>
    <pivotField showAll="0" defaultSubtotal="0">
      <items count="60">
        <item x="0"/>
        <item x="9"/>
        <item x="10"/>
        <item x="11"/>
        <item x="12"/>
        <item x="13"/>
        <item x="14"/>
        <item x="15"/>
        <item x="16"/>
        <item x="17"/>
        <item x="18"/>
        <item x="1"/>
        <item x="19"/>
        <item x="20"/>
        <item x="2"/>
        <item x="3"/>
        <item x="4"/>
        <item x="5"/>
        <item x="6"/>
        <item x="7"/>
        <item x="8"/>
        <item sd="0" x="21"/>
        <item sd="0" x="49"/>
        <item sd="0" x="50"/>
        <item sd="0" x="51"/>
        <item sd="0" x="52"/>
        <item sd="0" x="53"/>
        <item sd="0" x="54"/>
        <item sd="0" x="55"/>
        <item sd="0" x="56"/>
        <item sd="0" x="57"/>
        <item sd="0" x="58"/>
        <item sd="0" x="59"/>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3">
    <chartFormat chart="9"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9:B24" firstHeaderRow="1" firstDataRow="1" firstDataCol="1"/>
  <pivotFields count="9">
    <pivotField showAll="0"/>
    <pivotField showAll="0">
      <items count="141">
        <item h="1" f="1" x="92"/>
        <item h="1" f="1" x="101"/>
        <item h="1" f="1" x="102"/>
        <item h="1" f="1" x="103"/>
        <item h="1" f="1" x="104"/>
        <item h="1" f="1" x="105"/>
        <item h="1" f="1" x="106"/>
        <item h="1" f="1" x="107"/>
        <item h="1" f="1" x="108"/>
        <item h="1" f="1" x="109"/>
        <item h="1" f="1" x="110"/>
        <item h="1" f="1" x="93"/>
        <item h="1" f="1" x="111"/>
        <item h="1" f="1" x="112"/>
        <item h="1" f="1" x="94"/>
        <item h="1" f="1" x="95"/>
        <item h="1" f="1" x="96"/>
        <item h="1" f="1" x="97"/>
        <item h="1" f="1" x="98"/>
        <item h="1" f="1" x="99"/>
        <item h="1" f="1" x="100"/>
        <item f="1" x="113"/>
        <item f="1" x="114"/>
        <item f="1" x="115"/>
        <item f="1" x="116"/>
        <item f="1" x="117"/>
        <item f="1" x="118"/>
        <item f="1" x="119"/>
        <item f="1" x="120"/>
        <item f="1" x="121"/>
        <item f="1" x="122"/>
        <item f="1" x="123"/>
        <item f="1" x="124"/>
        <item f="1" x="125"/>
        <item f="1" x="126"/>
        <item f="1" x="127"/>
        <item f="1" x="128"/>
        <item f="1" x="129"/>
        <item f="1" x="130"/>
        <item f="1" x="131"/>
        <item f="1" x="132"/>
        <item f="1" x="133"/>
        <item f="1" x="134"/>
        <item f="1" x="135"/>
        <item f="1" x="136"/>
        <item f="1" x="137"/>
        <item f="1" x="138"/>
        <item f="1" x="1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pivotField axis="axisRow" showAll="0">
      <items count="5">
        <item x="0"/>
        <item x="3"/>
        <item x="2"/>
        <item x="1"/>
        <item t="default"/>
      </items>
    </pivotField>
    <pivotField showAll="0">
      <items count="7">
        <item x="5"/>
        <item x="3"/>
        <item x="2"/>
        <item x="0"/>
        <item x="4"/>
        <item x="1"/>
        <item t="default"/>
      </items>
    </pivotField>
    <pivotField showAll="0"/>
    <pivotField showAll="0"/>
    <pivotField dataField="1" showAll="0"/>
    <pivotField showAll="0" defaultSubtotal="0">
      <items count="60">
        <item h="1" x="0"/>
        <item h="1" x="9"/>
        <item h="1" x="10"/>
        <item h="1" x="11"/>
        <item h="1" x="12"/>
        <item h="1" x="13"/>
        <item h="1" x="14"/>
        <item h="1" x="15"/>
        <item h="1" x="16"/>
        <item h="1" x="17"/>
        <item h="1" x="18"/>
        <item h="1" x="1"/>
        <item h="1" x="19"/>
        <item h="1" x="20"/>
        <item h="1" x="2"/>
        <item h="1" x="3"/>
        <item h="1" x="4"/>
        <item h="1" x="5"/>
        <item h="1" x="6"/>
        <item h="1" x="7"/>
        <item h="1" x="8"/>
        <item sd="0" x="21"/>
        <item sd="0" x="49"/>
        <item sd="0" x="50"/>
        <item sd="0" x="51"/>
        <item sd="0" x="52"/>
        <item sd="0" x="53"/>
        <item sd="0" x="54"/>
        <item sd="0" x="55"/>
        <item sd="0" x="56"/>
        <item sd="0" x="57"/>
        <item sd="0" x="58"/>
        <item sd="0" x="59"/>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s>
    </pivotField>
  </pivotFields>
  <rowFields count="1">
    <field x="3"/>
  </rowFields>
  <rowItems count="5">
    <i>
      <x/>
    </i>
    <i>
      <x v="1"/>
    </i>
    <i>
      <x v="2"/>
    </i>
    <i>
      <x v="3"/>
    </i>
    <i t="grand">
      <x/>
    </i>
  </rowItems>
  <colItems count="1">
    <i/>
  </colItems>
  <dataFields count="1">
    <dataField name="Sum of Amount" fld="7"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s>
  <data>
    <tabular pivotCacheId="1">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s>
  <data>
    <tabular pivotCacheId="1">
      <items count="6">
        <i x="5" s="1"/>
        <i x="3" s="1"/>
        <i x="2"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3" cache="Slicer_Region" caption="Region" columnCount="2" rowHeight="324000"/>
  <slicer name="Item 3" cache="Slicer_Item"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 caption="Region" columnCount="2" rowHeight="324000"/>
  <slicer name="Item 2" cache="Slicer_Item" caption="Item" columnCount="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rowHeight="288000"/>
  <slicer name="Item 1" cache="Slicer_Item" caption="Item" columnCount="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rowHeight="241300"/>
  <slicer name="Item" cache="Slicer_Item" caption="Item" columnCount="6" rowHeight="241300"/>
</slicers>
</file>

<file path=xl/tables/table1.xml><?xml version="1.0" encoding="utf-8"?>
<table xmlns="http://schemas.openxmlformats.org/spreadsheetml/2006/main" id="1" name="Table1" displayName="Table1" ref="A1:H101" totalsRowShown="0">
  <autoFilter ref="A1:H101"/>
  <tableColumns count="8">
    <tableColumn id="1" name="S.No."/>
    <tableColumn id="2" name="Date" dataDxfId="0"/>
    <tableColumn id="3" name="Salesman"/>
    <tableColumn id="4" name="Region"/>
    <tableColumn id="5" name="Item"/>
    <tableColumn id="6" name="Quantity"/>
    <tableColumn id="7" name="Price"/>
    <tableColumn id="8"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6.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heetViews>
  <sheetFormatPr defaultRowHeight="15" x14ac:dyDescent="0.25"/>
  <cols>
    <col min="1" max="1" width="7.28515625" customWidth="1"/>
    <col min="2" max="2" width="8.42578125" customWidth="1"/>
    <col min="3" max="3" width="8.5703125" customWidth="1"/>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heetViews>
  <sheetFormatPr defaultRowHeight="15" x14ac:dyDescent="0.25"/>
  <cols>
    <col min="1" max="1" width="7.28515625" customWidth="1"/>
    <col min="2" max="2" width="8.42578125" customWidth="1"/>
    <col min="3" max="3"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heetViews>
  <sheetFormatPr defaultRowHeight="15" x14ac:dyDescent="0.25"/>
  <cols>
    <col min="1" max="1" width="7.28515625" customWidth="1"/>
    <col min="2" max="2" width="8.42578125" customWidth="1"/>
    <col min="3" max="3"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heetViews>
  <sheetFormatPr defaultRowHeight="15" x14ac:dyDescent="0.25"/>
  <cols>
    <col min="1" max="1" width="7.28515625" customWidth="1"/>
    <col min="2" max="2" width="8.42578125" customWidth="1"/>
    <col min="3" max="3" width="8.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Views>
    <sheetView workbookViewId="0">
      <selection activeCell="A3" sqref="A3:H102"/>
    </sheetView>
  </sheetViews>
  <sheetFormatPr defaultRowHeight="15" x14ac:dyDescent="0.25"/>
  <cols>
    <col min="2" max="2" width="11" customWidth="1"/>
    <col min="3" max="3" width="12" bestFit="1" customWidth="1"/>
    <col min="6" max="6" width="11.28515625" bestFit="1" customWidth="1"/>
    <col min="8" max="8" width="10.42578125" bestFit="1" customWidth="1"/>
  </cols>
  <sheetData>
    <row r="1" spans="1:8" ht="26.25" x14ac:dyDescent="0.4">
      <c r="A1" s="7" t="s">
        <v>0</v>
      </c>
      <c r="B1" s="7"/>
      <c r="C1" s="7"/>
      <c r="D1" s="7"/>
      <c r="E1" s="7"/>
      <c r="F1" s="7"/>
      <c r="G1" s="7"/>
      <c r="H1" s="7"/>
    </row>
    <row r="2" spans="1:8" ht="18.75" x14ac:dyDescent="0.3">
      <c r="A2" s="1" t="s">
        <v>1</v>
      </c>
      <c r="B2" s="1" t="s">
        <v>2</v>
      </c>
      <c r="C2" s="1" t="s">
        <v>3</v>
      </c>
      <c r="D2" s="1" t="s">
        <v>4</v>
      </c>
      <c r="E2" s="1" t="s">
        <v>5</v>
      </c>
      <c r="F2" s="1" t="s">
        <v>6</v>
      </c>
      <c r="G2" s="1" t="s">
        <v>7</v>
      </c>
      <c r="H2" s="1" t="s">
        <v>8</v>
      </c>
    </row>
    <row r="3" spans="1:8" x14ac:dyDescent="0.25">
      <c r="A3">
        <v>1</v>
      </c>
      <c r="B3" s="2">
        <v>45292</v>
      </c>
      <c r="C3" t="s">
        <v>9</v>
      </c>
      <c r="D3" t="s">
        <v>15</v>
      </c>
      <c r="E3" t="s">
        <v>19</v>
      </c>
      <c r="F3">
        <v>7</v>
      </c>
      <c r="G3">
        <v>210</v>
      </c>
      <c r="H3">
        <f>F3*G3</f>
        <v>1470</v>
      </c>
    </row>
    <row r="4" spans="1:8" x14ac:dyDescent="0.25">
      <c r="A4">
        <v>2</v>
      </c>
      <c r="B4" s="2">
        <v>45292</v>
      </c>
      <c r="C4" t="s">
        <v>10</v>
      </c>
      <c r="D4" t="s">
        <v>16</v>
      </c>
      <c r="E4" t="s">
        <v>20</v>
      </c>
      <c r="F4">
        <v>6</v>
      </c>
      <c r="G4">
        <v>1420</v>
      </c>
      <c r="H4">
        <f t="shared" ref="H4:H67" si="0">F4*G4</f>
        <v>8520</v>
      </c>
    </row>
    <row r="5" spans="1:8" x14ac:dyDescent="0.25">
      <c r="A5">
        <v>3</v>
      </c>
      <c r="B5" s="2">
        <v>45293</v>
      </c>
      <c r="C5" t="s">
        <v>11</v>
      </c>
      <c r="D5" t="s">
        <v>17</v>
      </c>
      <c r="E5" t="s">
        <v>21</v>
      </c>
      <c r="F5">
        <v>5</v>
      </c>
      <c r="G5">
        <v>1200</v>
      </c>
      <c r="H5">
        <f t="shared" si="0"/>
        <v>6000</v>
      </c>
    </row>
    <row r="6" spans="1:8" x14ac:dyDescent="0.25">
      <c r="A6">
        <v>4</v>
      </c>
      <c r="B6" s="2">
        <v>45294</v>
      </c>
      <c r="C6" t="s">
        <v>12</v>
      </c>
      <c r="D6" t="s">
        <v>15</v>
      </c>
      <c r="E6" t="s">
        <v>22</v>
      </c>
      <c r="F6">
        <v>4</v>
      </c>
      <c r="G6">
        <v>2100</v>
      </c>
      <c r="H6">
        <f t="shared" si="0"/>
        <v>8400</v>
      </c>
    </row>
    <row r="7" spans="1:8" x14ac:dyDescent="0.25">
      <c r="A7">
        <v>5</v>
      </c>
      <c r="B7" s="2">
        <v>45295</v>
      </c>
      <c r="C7" t="s">
        <v>13</v>
      </c>
      <c r="D7" t="s">
        <v>16</v>
      </c>
      <c r="E7" t="s">
        <v>23</v>
      </c>
      <c r="F7">
        <v>3</v>
      </c>
      <c r="G7">
        <v>300</v>
      </c>
      <c r="H7">
        <f t="shared" si="0"/>
        <v>900</v>
      </c>
    </row>
    <row r="8" spans="1:8" x14ac:dyDescent="0.25">
      <c r="A8">
        <v>6</v>
      </c>
      <c r="B8" s="2">
        <v>45296</v>
      </c>
      <c r="C8" t="s">
        <v>14</v>
      </c>
      <c r="D8" t="s">
        <v>18</v>
      </c>
      <c r="E8" t="s">
        <v>21</v>
      </c>
      <c r="F8">
        <v>2</v>
      </c>
      <c r="G8">
        <v>190</v>
      </c>
      <c r="H8">
        <f t="shared" si="0"/>
        <v>380</v>
      </c>
    </row>
    <row r="9" spans="1:8" x14ac:dyDescent="0.25">
      <c r="A9">
        <v>7</v>
      </c>
      <c r="B9" s="2">
        <v>45297</v>
      </c>
      <c r="C9" t="s">
        <v>9</v>
      </c>
      <c r="D9" t="s">
        <v>17</v>
      </c>
      <c r="E9" t="s">
        <v>24</v>
      </c>
      <c r="F9">
        <v>7</v>
      </c>
      <c r="G9">
        <v>210</v>
      </c>
      <c r="H9">
        <f t="shared" si="0"/>
        <v>1470</v>
      </c>
    </row>
    <row r="10" spans="1:8" x14ac:dyDescent="0.25">
      <c r="A10">
        <v>8</v>
      </c>
      <c r="B10" s="2">
        <v>45297</v>
      </c>
      <c r="C10" t="s">
        <v>10</v>
      </c>
      <c r="D10" t="s">
        <v>15</v>
      </c>
      <c r="E10" t="s">
        <v>19</v>
      </c>
      <c r="F10">
        <v>6</v>
      </c>
      <c r="G10">
        <v>1420</v>
      </c>
      <c r="H10">
        <f t="shared" si="0"/>
        <v>8520</v>
      </c>
    </row>
    <row r="11" spans="1:8" x14ac:dyDescent="0.25">
      <c r="A11">
        <v>9</v>
      </c>
      <c r="B11" s="2">
        <v>45297</v>
      </c>
      <c r="C11" t="s">
        <v>11</v>
      </c>
      <c r="D11" t="s">
        <v>18</v>
      </c>
      <c r="E11" t="s">
        <v>19</v>
      </c>
      <c r="F11">
        <v>5</v>
      </c>
      <c r="G11">
        <v>1200</v>
      </c>
      <c r="H11">
        <f t="shared" si="0"/>
        <v>6000</v>
      </c>
    </row>
    <row r="12" spans="1:8" x14ac:dyDescent="0.25">
      <c r="A12">
        <v>10</v>
      </c>
      <c r="B12" s="2">
        <v>45298</v>
      </c>
      <c r="C12" t="s">
        <v>12</v>
      </c>
      <c r="D12" t="s">
        <v>16</v>
      </c>
      <c r="E12" t="s">
        <v>20</v>
      </c>
      <c r="F12">
        <v>4</v>
      </c>
      <c r="G12">
        <v>2100</v>
      </c>
      <c r="H12">
        <f t="shared" si="0"/>
        <v>8400</v>
      </c>
    </row>
    <row r="13" spans="1:8" x14ac:dyDescent="0.25">
      <c r="A13">
        <v>11</v>
      </c>
      <c r="B13" s="2">
        <v>45299</v>
      </c>
      <c r="C13" t="s">
        <v>13</v>
      </c>
      <c r="D13" t="s">
        <v>16</v>
      </c>
      <c r="E13" t="s">
        <v>21</v>
      </c>
      <c r="F13">
        <v>3</v>
      </c>
      <c r="G13">
        <v>300</v>
      </c>
      <c r="H13">
        <f t="shared" si="0"/>
        <v>900</v>
      </c>
    </row>
    <row r="14" spans="1:8" x14ac:dyDescent="0.25">
      <c r="A14">
        <v>12</v>
      </c>
      <c r="B14" s="2">
        <v>45300</v>
      </c>
      <c r="C14" t="s">
        <v>14</v>
      </c>
      <c r="D14" t="s">
        <v>15</v>
      </c>
      <c r="E14" t="s">
        <v>22</v>
      </c>
      <c r="F14">
        <v>2</v>
      </c>
      <c r="G14">
        <v>190</v>
      </c>
      <c r="H14">
        <f t="shared" si="0"/>
        <v>380</v>
      </c>
    </row>
    <row r="15" spans="1:8" x14ac:dyDescent="0.25">
      <c r="A15">
        <v>13</v>
      </c>
      <c r="B15" s="2">
        <v>45301</v>
      </c>
      <c r="C15" t="s">
        <v>9</v>
      </c>
      <c r="D15" t="s">
        <v>15</v>
      </c>
      <c r="E15" t="s">
        <v>23</v>
      </c>
      <c r="F15">
        <v>7</v>
      </c>
      <c r="G15">
        <v>210</v>
      </c>
      <c r="H15">
        <f t="shared" si="0"/>
        <v>1470</v>
      </c>
    </row>
    <row r="16" spans="1:8" x14ac:dyDescent="0.25">
      <c r="A16">
        <v>14</v>
      </c>
      <c r="B16" s="2">
        <v>45302</v>
      </c>
      <c r="C16" t="s">
        <v>10</v>
      </c>
      <c r="D16" t="s">
        <v>17</v>
      </c>
      <c r="E16" t="s">
        <v>21</v>
      </c>
      <c r="F16">
        <v>7</v>
      </c>
      <c r="G16">
        <v>1420</v>
      </c>
      <c r="H16">
        <f t="shared" si="0"/>
        <v>9940</v>
      </c>
    </row>
    <row r="17" spans="1:8" x14ac:dyDescent="0.25">
      <c r="A17">
        <v>15</v>
      </c>
      <c r="B17" s="2">
        <v>45303</v>
      </c>
      <c r="C17" t="s">
        <v>11</v>
      </c>
      <c r="D17" t="s">
        <v>15</v>
      </c>
      <c r="E17" t="s">
        <v>24</v>
      </c>
      <c r="F17">
        <v>5</v>
      </c>
      <c r="G17">
        <v>1200</v>
      </c>
      <c r="H17">
        <f t="shared" si="0"/>
        <v>6000</v>
      </c>
    </row>
    <row r="18" spans="1:8" x14ac:dyDescent="0.25">
      <c r="A18">
        <v>16</v>
      </c>
      <c r="B18" s="2">
        <v>45304</v>
      </c>
      <c r="C18" t="s">
        <v>12</v>
      </c>
      <c r="D18" t="s">
        <v>16</v>
      </c>
      <c r="E18" t="s">
        <v>19</v>
      </c>
      <c r="F18">
        <v>6</v>
      </c>
      <c r="G18">
        <v>2100</v>
      </c>
      <c r="H18">
        <f t="shared" si="0"/>
        <v>12600</v>
      </c>
    </row>
    <row r="19" spans="1:8" x14ac:dyDescent="0.25">
      <c r="A19">
        <v>17</v>
      </c>
      <c r="B19" s="2">
        <v>45307</v>
      </c>
      <c r="C19" t="s">
        <v>13</v>
      </c>
      <c r="D19" t="s">
        <v>17</v>
      </c>
      <c r="E19" t="s">
        <v>19</v>
      </c>
      <c r="F19">
        <v>7</v>
      </c>
      <c r="G19">
        <v>300</v>
      </c>
      <c r="H19">
        <f t="shared" si="0"/>
        <v>2100</v>
      </c>
    </row>
    <row r="20" spans="1:8" x14ac:dyDescent="0.25">
      <c r="A20">
        <v>18</v>
      </c>
      <c r="B20" s="2">
        <v>45308</v>
      </c>
      <c r="C20" t="s">
        <v>14</v>
      </c>
      <c r="D20" t="s">
        <v>15</v>
      </c>
      <c r="E20" t="s">
        <v>20</v>
      </c>
      <c r="F20">
        <v>6</v>
      </c>
      <c r="G20">
        <v>190</v>
      </c>
      <c r="H20">
        <f t="shared" si="0"/>
        <v>1140</v>
      </c>
    </row>
    <row r="21" spans="1:8" x14ac:dyDescent="0.25">
      <c r="A21">
        <v>19</v>
      </c>
      <c r="B21" s="2">
        <v>45309</v>
      </c>
      <c r="C21" t="s">
        <v>9</v>
      </c>
      <c r="D21" t="s">
        <v>16</v>
      </c>
      <c r="E21" t="s">
        <v>21</v>
      </c>
      <c r="F21">
        <v>5</v>
      </c>
      <c r="G21">
        <v>210</v>
      </c>
      <c r="H21">
        <f t="shared" si="0"/>
        <v>1050</v>
      </c>
    </row>
    <row r="22" spans="1:8" x14ac:dyDescent="0.25">
      <c r="A22">
        <v>20</v>
      </c>
      <c r="B22" s="2">
        <v>45310</v>
      </c>
      <c r="C22" t="s">
        <v>10</v>
      </c>
      <c r="D22" t="s">
        <v>18</v>
      </c>
      <c r="E22" t="s">
        <v>22</v>
      </c>
      <c r="F22">
        <v>4</v>
      </c>
      <c r="G22">
        <v>1420</v>
      </c>
      <c r="H22">
        <f t="shared" si="0"/>
        <v>5680</v>
      </c>
    </row>
    <row r="23" spans="1:8" x14ac:dyDescent="0.25">
      <c r="A23">
        <v>21</v>
      </c>
      <c r="B23" s="2">
        <v>45311</v>
      </c>
      <c r="C23" t="s">
        <v>11</v>
      </c>
      <c r="D23" t="s">
        <v>17</v>
      </c>
      <c r="E23" t="s">
        <v>23</v>
      </c>
      <c r="F23">
        <v>3</v>
      </c>
      <c r="G23">
        <v>1200</v>
      </c>
      <c r="H23">
        <f t="shared" si="0"/>
        <v>3600</v>
      </c>
    </row>
    <row r="24" spans="1:8" x14ac:dyDescent="0.25">
      <c r="A24">
        <v>22</v>
      </c>
      <c r="B24" s="2">
        <v>45312</v>
      </c>
      <c r="C24" t="s">
        <v>12</v>
      </c>
      <c r="D24" t="s">
        <v>15</v>
      </c>
      <c r="E24" t="s">
        <v>21</v>
      </c>
      <c r="F24">
        <v>2</v>
      </c>
      <c r="G24">
        <v>2100</v>
      </c>
      <c r="H24">
        <f t="shared" si="0"/>
        <v>4200</v>
      </c>
    </row>
    <row r="25" spans="1:8" x14ac:dyDescent="0.25">
      <c r="A25">
        <v>23</v>
      </c>
      <c r="B25" s="2">
        <v>45313</v>
      </c>
      <c r="C25" t="s">
        <v>13</v>
      </c>
      <c r="D25" t="s">
        <v>18</v>
      </c>
      <c r="E25" t="s">
        <v>24</v>
      </c>
      <c r="F25">
        <v>7</v>
      </c>
      <c r="G25">
        <v>300</v>
      </c>
      <c r="H25">
        <f t="shared" si="0"/>
        <v>2100</v>
      </c>
    </row>
    <row r="26" spans="1:8" x14ac:dyDescent="0.25">
      <c r="A26">
        <v>24</v>
      </c>
      <c r="B26" s="2">
        <v>45314</v>
      </c>
      <c r="C26" t="s">
        <v>14</v>
      </c>
      <c r="D26" t="s">
        <v>16</v>
      </c>
      <c r="E26" t="s">
        <v>19</v>
      </c>
      <c r="F26">
        <v>6</v>
      </c>
      <c r="G26">
        <v>190</v>
      </c>
      <c r="H26">
        <f t="shared" si="0"/>
        <v>1140</v>
      </c>
    </row>
    <row r="27" spans="1:8" x14ac:dyDescent="0.25">
      <c r="A27">
        <v>25</v>
      </c>
      <c r="B27" s="2">
        <v>45324</v>
      </c>
      <c r="C27" t="s">
        <v>9</v>
      </c>
      <c r="D27" t="s">
        <v>16</v>
      </c>
      <c r="E27" t="s">
        <v>19</v>
      </c>
      <c r="F27">
        <v>5</v>
      </c>
      <c r="G27">
        <v>210</v>
      </c>
      <c r="H27">
        <f t="shared" si="0"/>
        <v>1050</v>
      </c>
    </row>
    <row r="28" spans="1:8" x14ac:dyDescent="0.25">
      <c r="A28">
        <v>26</v>
      </c>
      <c r="B28" s="2">
        <v>45325</v>
      </c>
      <c r="C28" t="s">
        <v>10</v>
      </c>
      <c r="D28" t="s">
        <v>15</v>
      </c>
      <c r="E28" t="s">
        <v>20</v>
      </c>
      <c r="F28">
        <v>4</v>
      </c>
      <c r="G28">
        <v>1420</v>
      </c>
      <c r="H28">
        <f t="shared" si="0"/>
        <v>5680</v>
      </c>
    </row>
    <row r="29" spans="1:8" x14ac:dyDescent="0.25">
      <c r="A29">
        <v>27</v>
      </c>
      <c r="B29" s="2">
        <v>45326</v>
      </c>
      <c r="C29" t="s">
        <v>11</v>
      </c>
      <c r="D29" t="s">
        <v>15</v>
      </c>
      <c r="E29" t="s">
        <v>21</v>
      </c>
      <c r="F29">
        <v>3</v>
      </c>
      <c r="G29">
        <v>1200</v>
      </c>
      <c r="H29">
        <f t="shared" si="0"/>
        <v>3600</v>
      </c>
    </row>
    <row r="30" spans="1:8" x14ac:dyDescent="0.25">
      <c r="A30">
        <v>28</v>
      </c>
      <c r="B30" s="2">
        <v>45327</v>
      </c>
      <c r="C30" t="s">
        <v>12</v>
      </c>
      <c r="D30" t="s">
        <v>17</v>
      </c>
      <c r="E30" t="s">
        <v>22</v>
      </c>
      <c r="F30">
        <v>2</v>
      </c>
      <c r="G30">
        <v>2100</v>
      </c>
      <c r="H30">
        <f t="shared" si="0"/>
        <v>4200</v>
      </c>
    </row>
    <row r="31" spans="1:8" x14ac:dyDescent="0.25">
      <c r="A31">
        <v>29</v>
      </c>
      <c r="B31" s="2">
        <v>45328</v>
      </c>
      <c r="C31" t="s">
        <v>13</v>
      </c>
      <c r="D31" t="s">
        <v>15</v>
      </c>
      <c r="E31" t="s">
        <v>23</v>
      </c>
      <c r="F31">
        <v>7</v>
      </c>
      <c r="G31">
        <v>300</v>
      </c>
      <c r="H31">
        <f t="shared" si="0"/>
        <v>2100</v>
      </c>
    </row>
    <row r="32" spans="1:8" x14ac:dyDescent="0.25">
      <c r="A32">
        <v>30</v>
      </c>
      <c r="B32" s="2">
        <v>45329</v>
      </c>
      <c r="C32" t="s">
        <v>14</v>
      </c>
      <c r="D32" t="s">
        <v>16</v>
      </c>
      <c r="E32" t="s">
        <v>21</v>
      </c>
      <c r="F32">
        <v>6</v>
      </c>
      <c r="G32">
        <v>190</v>
      </c>
      <c r="H32">
        <f t="shared" si="0"/>
        <v>1140</v>
      </c>
    </row>
    <row r="33" spans="1:8" x14ac:dyDescent="0.25">
      <c r="A33">
        <v>31</v>
      </c>
      <c r="B33" s="2">
        <v>45330</v>
      </c>
      <c r="C33" t="s">
        <v>9</v>
      </c>
      <c r="D33" t="s">
        <v>17</v>
      </c>
      <c r="E33" t="s">
        <v>24</v>
      </c>
      <c r="F33">
        <v>5</v>
      </c>
      <c r="G33">
        <v>210</v>
      </c>
      <c r="H33">
        <f t="shared" si="0"/>
        <v>1050</v>
      </c>
    </row>
    <row r="34" spans="1:8" x14ac:dyDescent="0.25">
      <c r="A34">
        <v>32</v>
      </c>
      <c r="B34" s="2">
        <v>45331</v>
      </c>
      <c r="C34" t="s">
        <v>10</v>
      </c>
      <c r="D34" t="s">
        <v>15</v>
      </c>
      <c r="E34" t="s">
        <v>19</v>
      </c>
      <c r="F34">
        <v>4</v>
      </c>
      <c r="G34">
        <v>1420</v>
      </c>
      <c r="H34">
        <f t="shared" si="0"/>
        <v>5680</v>
      </c>
    </row>
    <row r="35" spans="1:8" x14ac:dyDescent="0.25">
      <c r="A35">
        <v>33</v>
      </c>
      <c r="B35" s="2">
        <v>45332</v>
      </c>
      <c r="C35" t="s">
        <v>11</v>
      </c>
      <c r="D35" t="s">
        <v>16</v>
      </c>
      <c r="E35" t="s">
        <v>19</v>
      </c>
      <c r="F35">
        <v>3</v>
      </c>
      <c r="G35">
        <v>1200</v>
      </c>
      <c r="H35">
        <f t="shared" si="0"/>
        <v>3600</v>
      </c>
    </row>
    <row r="36" spans="1:8" x14ac:dyDescent="0.25">
      <c r="A36">
        <v>34</v>
      </c>
      <c r="B36" s="2">
        <v>45333</v>
      </c>
      <c r="C36" t="s">
        <v>12</v>
      </c>
      <c r="D36" t="s">
        <v>18</v>
      </c>
      <c r="E36" t="s">
        <v>20</v>
      </c>
      <c r="F36">
        <v>2</v>
      </c>
      <c r="G36">
        <v>2100</v>
      </c>
      <c r="H36">
        <f t="shared" si="0"/>
        <v>4200</v>
      </c>
    </row>
    <row r="37" spans="1:8" x14ac:dyDescent="0.25">
      <c r="A37">
        <v>35</v>
      </c>
      <c r="B37" s="2">
        <v>45335</v>
      </c>
      <c r="C37" t="s">
        <v>13</v>
      </c>
      <c r="D37" t="s">
        <v>17</v>
      </c>
      <c r="E37" t="s">
        <v>21</v>
      </c>
      <c r="F37">
        <v>2</v>
      </c>
      <c r="G37">
        <v>300</v>
      </c>
      <c r="H37">
        <f t="shared" si="0"/>
        <v>600</v>
      </c>
    </row>
    <row r="38" spans="1:8" x14ac:dyDescent="0.25">
      <c r="A38">
        <v>36</v>
      </c>
      <c r="B38" s="2">
        <v>45335</v>
      </c>
      <c r="C38" t="s">
        <v>14</v>
      </c>
      <c r="D38" t="s">
        <v>15</v>
      </c>
      <c r="E38" t="s">
        <v>22</v>
      </c>
      <c r="F38">
        <v>5</v>
      </c>
      <c r="G38">
        <v>190</v>
      </c>
      <c r="H38">
        <f t="shared" si="0"/>
        <v>950</v>
      </c>
    </row>
    <row r="39" spans="1:8" x14ac:dyDescent="0.25">
      <c r="A39">
        <v>37</v>
      </c>
      <c r="B39" s="2">
        <v>45345</v>
      </c>
      <c r="C39" t="s">
        <v>9</v>
      </c>
      <c r="D39" t="s">
        <v>18</v>
      </c>
      <c r="E39" t="s">
        <v>23</v>
      </c>
      <c r="F39">
        <v>7</v>
      </c>
      <c r="G39">
        <v>210</v>
      </c>
      <c r="H39">
        <f t="shared" si="0"/>
        <v>1470</v>
      </c>
    </row>
    <row r="40" spans="1:8" x14ac:dyDescent="0.25">
      <c r="A40">
        <v>38</v>
      </c>
      <c r="B40" s="2">
        <v>45350</v>
      </c>
      <c r="C40" t="s">
        <v>10</v>
      </c>
      <c r="D40" t="s">
        <v>16</v>
      </c>
      <c r="E40" t="s">
        <v>21</v>
      </c>
      <c r="F40">
        <v>6</v>
      </c>
      <c r="G40">
        <v>1420</v>
      </c>
      <c r="H40">
        <f t="shared" si="0"/>
        <v>8520</v>
      </c>
    </row>
    <row r="41" spans="1:8" x14ac:dyDescent="0.25">
      <c r="A41">
        <v>39</v>
      </c>
      <c r="B41" s="2">
        <v>45355</v>
      </c>
      <c r="C41" t="s">
        <v>11</v>
      </c>
      <c r="D41" t="s">
        <v>16</v>
      </c>
      <c r="E41" t="s">
        <v>24</v>
      </c>
      <c r="F41">
        <v>5</v>
      </c>
      <c r="G41">
        <v>1200</v>
      </c>
      <c r="H41">
        <f t="shared" si="0"/>
        <v>6000</v>
      </c>
    </row>
    <row r="42" spans="1:8" x14ac:dyDescent="0.25">
      <c r="A42">
        <v>40</v>
      </c>
      <c r="B42" s="2">
        <v>45356</v>
      </c>
      <c r="C42" t="s">
        <v>12</v>
      </c>
      <c r="D42" t="s">
        <v>15</v>
      </c>
      <c r="E42" t="s">
        <v>19</v>
      </c>
      <c r="F42">
        <v>7</v>
      </c>
      <c r="G42">
        <v>2100</v>
      </c>
      <c r="H42">
        <f t="shared" si="0"/>
        <v>14700</v>
      </c>
    </row>
    <row r="43" spans="1:8" x14ac:dyDescent="0.25">
      <c r="A43">
        <v>41</v>
      </c>
      <c r="B43" s="2">
        <v>45357</v>
      </c>
      <c r="C43" t="s">
        <v>13</v>
      </c>
      <c r="D43" t="s">
        <v>15</v>
      </c>
      <c r="E43" t="s">
        <v>19</v>
      </c>
      <c r="F43">
        <v>7</v>
      </c>
      <c r="G43">
        <v>300</v>
      </c>
      <c r="H43">
        <f t="shared" si="0"/>
        <v>2100</v>
      </c>
    </row>
    <row r="44" spans="1:8" x14ac:dyDescent="0.25">
      <c r="A44">
        <v>42</v>
      </c>
      <c r="B44" s="2">
        <v>45358</v>
      </c>
      <c r="C44" t="s">
        <v>14</v>
      </c>
      <c r="D44" t="s">
        <v>17</v>
      </c>
      <c r="E44" t="s">
        <v>20</v>
      </c>
      <c r="F44">
        <v>2</v>
      </c>
      <c r="G44">
        <v>190</v>
      </c>
      <c r="H44">
        <f t="shared" si="0"/>
        <v>380</v>
      </c>
    </row>
    <row r="45" spans="1:8" x14ac:dyDescent="0.25">
      <c r="A45">
        <v>43</v>
      </c>
      <c r="B45" s="2">
        <v>45359</v>
      </c>
      <c r="C45" t="s">
        <v>9</v>
      </c>
      <c r="D45" t="s">
        <v>15</v>
      </c>
      <c r="E45" t="s">
        <v>21</v>
      </c>
      <c r="F45">
        <v>5</v>
      </c>
      <c r="G45">
        <v>210</v>
      </c>
      <c r="H45">
        <f t="shared" si="0"/>
        <v>1050</v>
      </c>
    </row>
    <row r="46" spans="1:8" x14ac:dyDescent="0.25">
      <c r="A46">
        <v>44</v>
      </c>
      <c r="B46" s="2">
        <v>45360</v>
      </c>
      <c r="C46" t="s">
        <v>10</v>
      </c>
      <c r="D46" t="s">
        <v>16</v>
      </c>
      <c r="E46" t="s">
        <v>22</v>
      </c>
      <c r="F46">
        <v>7</v>
      </c>
      <c r="G46">
        <v>1420</v>
      </c>
      <c r="H46">
        <f t="shared" si="0"/>
        <v>9940</v>
      </c>
    </row>
    <row r="47" spans="1:8" x14ac:dyDescent="0.25">
      <c r="A47">
        <v>45</v>
      </c>
      <c r="B47" s="2">
        <v>45361</v>
      </c>
      <c r="C47" t="s">
        <v>11</v>
      </c>
      <c r="D47" t="s">
        <v>17</v>
      </c>
      <c r="E47" t="s">
        <v>23</v>
      </c>
      <c r="F47">
        <v>6</v>
      </c>
      <c r="G47">
        <v>1200</v>
      </c>
      <c r="H47">
        <f t="shared" si="0"/>
        <v>7200</v>
      </c>
    </row>
    <row r="48" spans="1:8" x14ac:dyDescent="0.25">
      <c r="A48">
        <v>46</v>
      </c>
      <c r="B48" s="2">
        <v>45362</v>
      </c>
      <c r="C48" t="s">
        <v>12</v>
      </c>
      <c r="D48" t="s">
        <v>15</v>
      </c>
      <c r="E48" t="s">
        <v>21</v>
      </c>
      <c r="F48">
        <v>5</v>
      </c>
      <c r="G48">
        <v>2100</v>
      </c>
      <c r="H48">
        <f t="shared" si="0"/>
        <v>10500</v>
      </c>
    </row>
    <row r="49" spans="1:8" x14ac:dyDescent="0.25">
      <c r="A49">
        <v>47</v>
      </c>
      <c r="B49" s="2">
        <v>45363</v>
      </c>
      <c r="C49" t="s">
        <v>13</v>
      </c>
      <c r="D49" t="s">
        <v>16</v>
      </c>
      <c r="E49" t="s">
        <v>24</v>
      </c>
      <c r="F49">
        <v>4</v>
      </c>
      <c r="G49">
        <v>300</v>
      </c>
      <c r="H49">
        <f t="shared" si="0"/>
        <v>1200</v>
      </c>
    </row>
    <row r="50" spans="1:8" x14ac:dyDescent="0.25">
      <c r="A50">
        <v>48</v>
      </c>
      <c r="B50" s="2">
        <v>45363</v>
      </c>
      <c r="C50" t="s">
        <v>14</v>
      </c>
      <c r="D50" t="s">
        <v>18</v>
      </c>
      <c r="E50" t="s">
        <v>19</v>
      </c>
      <c r="F50">
        <v>3</v>
      </c>
      <c r="G50">
        <v>190</v>
      </c>
      <c r="H50">
        <f t="shared" si="0"/>
        <v>570</v>
      </c>
    </row>
    <row r="51" spans="1:8" x14ac:dyDescent="0.25">
      <c r="A51">
        <v>49</v>
      </c>
      <c r="B51" s="2">
        <v>45363</v>
      </c>
      <c r="C51" t="s">
        <v>9</v>
      </c>
      <c r="D51" t="s">
        <v>17</v>
      </c>
      <c r="E51" t="s">
        <v>19</v>
      </c>
      <c r="F51">
        <v>2</v>
      </c>
      <c r="G51">
        <v>210</v>
      </c>
      <c r="H51">
        <f t="shared" si="0"/>
        <v>420</v>
      </c>
    </row>
    <row r="52" spans="1:8" x14ac:dyDescent="0.25">
      <c r="A52">
        <v>50</v>
      </c>
      <c r="B52" s="2">
        <v>45363</v>
      </c>
      <c r="C52" t="s">
        <v>10</v>
      </c>
      <c r="D52" t="s">
        <v>15</v>
      </c>
      <c r="E52" t="s">
        <v>20</v>
      </c>
      <c r="F52">
        <v>7</v>
      </c>
      <c r="G52">
        <v>1420</v>
      </c>
      <c r="H52">
        <f t="shared" si="0"/>
        <v>9940</v>
      </c>
    </row>
    <row r="53" spans="1:8" x14ac:dyDescent="0.25">
      <c r="A53">
        <v>51</v>
      </c>
      <c r="B53" s="2">
        <v>45363</v>
      </c>
      <c r="C53" t="s">
        <v>11</v>
      </c>
      <c r="D53" t="s">
        <v>18</v>
      </c>
      <c r="E53" t="s">
        <v>21</v>
      </c>
      <c r="F53">
        <v>6</v>
      </c>
      <c r="G53">
        <v>1200</v>
      </c>
      <c r="H53">
        <f t="shared" si="0"/>
        <v>7200</v>
      </c>
    </row>
    <row r="54" spans="1:8" x14ac:dyDescent="0.25">
      <c r="A54">
        <v>52</v>
      </c>
      <c r="B54" s="2">
        <v>45373</v>
      </c>
      <c r="C54" t="s">
        <v>12</v>
      </c>
      <c r="D54" t="s">
        <v>16</v>
      </c>
      <c r="E54" t="s">
        <v>22</v>
      </c>
      <c r="F54">
        <v>5</v>
      </c>
      <c r="G54">
        <v>2100</v>
      </c>
      <c r="H54">
        <f t="shared" si="0"/>
        <v>10500</v>
      </c>
    </row>
    <row r="55" spans="1:8" x14ac:dyDescent="0.25">
      <c r="A55">
        <v>53</v>
      </c>
      <c r="B55" s="2">
        <v>45374</v>
      </c>
      <c r="C55" t="s">
        <v>13</v>
      </c>
      <c r="D55" t="s">
        <v>16</v>
      </c>
      <c r="E55" t="s">
        <v>23</v>
      </c>
      <c r="F55">
        <v>4</v>
      </c>
      <c r="G55">
        <v>300</v>
      </c>
      <c r="H55">
        <f t="shared" si="0"/>
        <v>1200</v>
      </c>
    </row>
    <row r="56" spans="1:8" x14ac:dyDescent="0.25">
      <c r="A56">
        <v>54</v>
      </c>
      <c r="B56" s="2">
        <v>45375</v>
      </c>
      <c r="C56" t="s">
        <v>14</v>
      </c>
      <c r="D56" t="s">
        <v>15</v>
      </c>
      <c r="E56" t="s">
        <v>21</v>
      </c>
      <c r="F56">
        <v>3</v>
      </c>
      <c r="G56">
        <v>190</v>
      </c>
      <c r="H56">
        <f t="shared" si="0"/>
        <v>570</v>
      </c>
    </row>
    <row r="57" spans="1:8" x14ac:dyDescent="0.25">
      <c r="A57">
        <v>55</v>
      </c>
      <c r="B57" s="2">
        <v>45376</v>
      </c>
      <c r="C57" t="s">
        <v>9</v>
      </c>
      <c r="D57" t="s">
        <v>15</v>
      </c>
      <c r="E57" t="s">
        <v>24</v>
      </c>
      <c r="F57">
        <v>2</v>
      </c>
      <c r="G57">
        <v>210</v>
      </c>
      <c r="H57">
        <f t="shared" si="0"/>
        <v>420</v>
      </c>
    </row>
    <row r="58" spans="1:8" x14ac:dyDescent="0.25">
      <c r="A58">
        <v>56</v>
      </c>
      <c r="B58" s="2">
        <v>45393</v>
      </c>
      <c r="C58" t="s">
        <v>10</v>
      </c>
      <c r="D58" t="s">
        <v>17</v>
      </c>
      <c r="E58" t="s">
        <v>19</v>
      </c>
      <c r="F58">
        <v>7</v>
      </c>
      <c r="G58">
        <v>1420</v>
      </c>
      <c r="H58">
        <f t="shared" si="0"/>
        <v>9940</v>
      </c>
    </row>
    <row r="59" spans="1:8" x14ac:dyDescent="0.25">
      <c r="A59">
        <v>57</v>
      </c>
      <c r="B59" s="2">
        <v>45400</v>
      </c>
      <c r="C59" t="s">
        <v>11</v>
      </c>
      <c r="D59" t="s">
        <v>15</v>
      </c>
      <c r="E59" t="s">
        <v>19</v>
      </c>
      <c r="F59">
        <v>6</v>
      </c>
      <c r="G59">
        <v>1200</v>
      </c>
      <c r="H59">
        <f t="shared" si="0"/>
        <v>7200</v>
      </c>
    </row>
    <row r="60" spans="1:8" x14ac:dyDescent="0.25">
      <c r="A60">
        <v>58</v>
      </c>
      <c r="B60" s="2">
        <v>45408</v>
      </c>
      <c r="C60" t="s">
        <v>12</v>
      </c>
      <c r="D60" t="s">
        <v>16</v>
      </c>
      <c r="E60" t="s">
        <v>20</v>
      </c>
      <c r="F60">
        <v>5</v>
      </c>
      <c r="G60">
        <v>2100</v>
      </c>
      <c r="H60">
        <f t="shared" si="0"/>
        <v>10500</v>
      </c>
    </row>
    <row r="61" spans="1:8" x14ac:dyDescent="0.25">
      <c r="A61">
        <v>59</v>
      </c>
      <c r="B61" s="2">
        <v>45409</v>
      </c>
      <c r="C61" t="s">
        <v>13</v>
      </c>
      <c r="D61" t="s">
        <v>17</v>
      </c>
      <c r="E61" t="s">
        <v>21</v>
      </c>
      <c r="F61">
        <v>4</v>
      </c>
      <c r="G61">
        <v>300</v>
      </c>
      <c r="H61">
        <f t="shared" si="0"/>
        <v>1200</v>
      </c>
    </row>
    <row r="62" spans="1:8" x14ac:dyDescent="0.25">
      <c r="A62">
        <v>60</v>
      </c>
      <c r="B62" s="2">
        <v>45410</v>
      </c>
      <c r="C62" t="s">
        <v>14</v>
      </c>
      <c r="D62" t="s">
        <v>15</v>
      </c>
      <c r="E62" t="s">
        <v>22</v>
      </c>
      <c r="F62">
        <v>3</v>
      </c>
      <c r="G62">
        <v>190</v>
      </c>
      <c r="H62">
        <f t="shared" si="0"/>
        <v>570</v>
      </c>
    </row>
    <row r="63" spans="1:8" x14ac:dyDescent="0.25">
      <c r="A63">
        <v>61</v>
      </c>
      <c r="B63" s="2">
        <v>45422</v>
      </c>
      <c r="C63" t="s">
        <v>9</v>
      </c>
      <c r="D63" t="s">
        <v>16</v>
      </c>
      <c r="E63" t="s">
        <v>23</v>
      </c>
      <c r="F63">
        <v>2</v>
      </c>
      <c r="G63">
        <v>210</v>
      </c>
      <c r="H63">
        <f t="shared" si="0"/>
        <v>420</v>
      </c>
    </row>
    <row r="64" spans="1:8" x14ac:dyDescent="0.25">
      <c r="A64">
        <v>62</v>
      </c>
      <c r="B64" s="2">
        <v>45423</v>
      </c>
      <c r="C64" t="s">
        <v>10</v>
      </c>
      <c r="D64" t="s">
        <v>18</v>
      </c>
      <c r="E64" t="s">
        <v>21</v>
      </c>
      <c r="F64">
        <v>7</v>
      </c>
      <c r="G64">
        <v>1420</v>
      </c>
      <c r="H64">
        <f t="shared" si="0"/>
        <v>9940</v>
      </c>
    </row>
    <row r="65" spans="1:8" x14ac:dyDescent="0.25">
      <c r="A65">
        <v>63</v>
      </c>
      <c r="B65" s="2">
        <v>45424</v>
      </c>
      <c r="C65" t="s">
        <v>11</v>
      </c>
      <c r="D65" t="s">
        <v>17</v>
      </c>
      <c r="E65" t="s">
        <v>24</v>
      </c>
      <c r="F65">
        <v>6</v>
      </c>
      <c r="G65">
        <v>1200</v>
      </c>
      <c r="H65">
        <f t="shared" si="0"/>
        <v>7200</v>
      </c>
    </row>
    <row r="66" spans="1:8" x14ac:dyDescent="0.25">
      <c r="A66">
        <v>64</v>
      </c>
      <c r="B66" s="2">
        <v>45425</v>
      </c>
      <c r="C66" t="s">
        <v>12</v>
      </c>
      <c r="D66" t="s">
        <v>15</v>
      </c>
      <c r="E66" t="s">
        <v>19</v>
      </c>
      <c r="F66">
        <v>5</v>
      </c>
      <c r="G66">
        <v>2100</v>
      </c>
      <c r="H66">
        <f t="shared" si="0"/>
        <v>10500</v>
      </c>
    </row>
    <row r="67" spans="1:8" x14ac:dyDescent="0.25">
      <c r="A67">
        <v>65</v>
      </c>
      <c r="B67" s="2">
        <v>45438</v>
      </c>
      <c r="C67" t="s">
        <v>13</v>
      </c>
      <c r="D67" t="s">
        <v>18</v>
      </c>
      <c r="E67" t="s">
        <v>19</v>
      </c>
      <c r="F67">
        <v>4</v>
      </c>
      <c r="G67">
        <v>300</v>
      </c>
      <c r="H67">
        <f t="shared" si="0"/>
        <v>1200</v>
      </c>
    </row>
    <row r="68" spans="1:8" x14ac:dyDescent="0.25">
      <c r="A68">
        <v>66</v>
      </c>
      <c r="B68" s="2">
        <v>45445</v>
      </c>
      <c r="C68" t="s">
        <v>14</v>
      </c>
      <c r="D68" t="s">
        <v>16</v>
      </c>
      <c r="E68" t="s">
        <v>20</v>
      </c>
      <c r="F68">
        <v>3</v>
      </c>
      <c r="G68">
        <v>190</v>
      </c>
      <c r="H68">
        <f t="shared" ref="H68:H102" si="1">F68*G68</f>
        <v>570</v>
      </c>
    </row>
    <row r="69" spans="1:8" x14ac:dyDescent="0.25">
      <c r="A69">
        <v>67</v>
      </c>
      <c r="B69" s="2">
        <v>45451</v>
      </c>
      <c r="C69" t="s">
        <v>9</v>
      </c>
      <c r="D69" t="s">
        <v>16</v>
      </c>
      <c r="E69" t="s">
        <v>21</v>
      </c>
      <c r="F69">
        <v>2</v>
      </c>
      <c r="G69">
        <v>210</v>
      </c>
      <c r="H69">
        <f t="shared" si="1"/>
        <v>420</v>
      </c>
    </row>
    <row r="70" spans="1:8" x14ac:dyDescent="0.25">
      <c r="A70">
        <v>68</v>
      </c>
      <c r="B70" s="2">
        <v>45459</v>
      </c>
      <c r="C70" t="s">
        <v>10</v>
      </c>
      <c r="D70" t="s">
        <v>15</v>
      </c>
      <c r="E70" t="s">
        <v>22</v>
      </c>
      <c r="F70">
        <v>7</v>
      </c>
      <c r="G70">
        <v>1420</v>
      </c>
      <c r="H70">
        <f t="shared" si="1"/>
        <v>9940</v>
      </c>
    </row>
    <row r="71" spans="1:8" x14ac:dyDescent="0.25">
      <c r="A71">
        <v>69</v>
      </c>
      <c r="B71" s="2">
        <v>45465</v>
      </c>
      <c r="C71" t="s">
        <v>11</v>
      </c>
      <c r="D71" t="s">
        <v>15</v>
      </c>
      <c r="E71" t="s">
        <v>23</v>
      </c>
      <c r="F71">
        <v>6</v>
      </c>
      <c r="G71">
        <v>1200</v>
      </c>
      <c r="H71">
        <f t="shared" si="1"/>
        <v>7200</v>
      </c>
    </row>
    <row r="72" spans="1:8" x14ac:dyDescent="0.25">
      <c r="A72">
        <v>70</v>
      </c>
      <c r="B72" s="2">
        <v>45490</v>
      </c>
      <c r="C72" t="s">
        <v>12</v>
      </c>
      <c r="D72" t="s">
        <v>17</v>
      </c>
      <c r="E72" t="s">
        <v>21</v>
      </c>
      <c r="F72">
        <v>5</v>
      </c>
      <c r="G72">
        <v>2100</v>
      </c>
      <c r="H72">
        <f t="shared" si="1"/>
        <v>10500</v>
      </c>
    </row>
    <row r="73" spans="1:8" x14ac:dyDescent="0.25">
      <c r="A73">
        <v>71</v>
      </c>
      <c r="B73" s="2">
        <v>45494</v>
      </c>
      <c r="C73" t="s">
        <v>13</v>
      </c>
      <c r="D73" t="s">
        <v>15</v>
      </c>
      <c r="E73" t="s">
        <v>24</v>
      </c>
      <c r="F73">
        <v>4</v>
      </c>
      <c r="G73">
        <v>300</v>
      </c>
      <c r="H73">
        <f t="shared" si="1"/>
        <v>1200</v>
      </c>
    </row>
    <row r="74" spans="1:8" x14ac:dyDescent="0.25">
      <c r="A74">
        <v>72</v>
      </c>
      <c r="B74" s="2">
        <v>45496</v>
      </c>
      <c r="C74" t="s">
        <v>14</v>
      </c>
      <c r="D74" t="s">
        <v>16</v>
      </c>
      <c r="E74" t="s">
        <v>19</v>
      </c>
      <c r="F74">
        <v>3</v>
      </c>
      <c r="G74">
        <v>190</v>
      </c>
      <c r="H74">
        <f t="shared" si="1"/>
        <v>570</v>
      </c>
    </row>
    <row r="75" spans="1:8" x14ac:dyDescent="0.25">
      <c r="A75">
        <v>73</v>
      </c>
      <c r="B75" s="2">
        <v>45507</v>
      </c>
      <c r="C75" t="s">
        <v>9</v>
      </c>
      <c r="D75" t="s">
        <v>17</v>
      </c>
      <c r="E75" t="s">
        <v>19</v>
      </c>
      <c r="F75">
        <v>2</v>
      </c>
      <c r="G75">
        <v>190</v>
      </c>
      <c r="H75">
        <f t="shared" si="1"/>
        <v>380</v>
      </c>
    </row>
    <row r="76" spans="1:8" x14ac:dyDescent="0.25">
      <c r="A76">
        <v>74</v>
      </c>
      <c r="B76" s="2">
        <v>45515</v>
      </c>
      <c r="C76" t="s">
        <v>10</v>
      </c>
      <c r="D76" t="s">
        <v>15</v>
      </c>
      <c r="E76" t="s">
        <v>20</v>
      </c>
      <c r="F76">
        <v>7</v>
      </c>
      <c r="G76">
        <v>210</v>
      </c>
      <c r="H76">
        <f t="shared" si="1"/>
        <v>1470</v>
      </c>
    </row>
    <row r="77" spans="1:8" x14ac:dyDescent="0.25">
      <c r="A77">
        <v>75</v>
      </c>
      <c r="B77" s="2">
        <v>45528</v>
      </c>
      <c r="C77" t="s">
        <v>11</v>
      </c>
      <c r="D77" t="s">
        <v>16</v>
      </c>
      <c r="E77" t="s">
        <v>21</v>
      </c>
      <c r="F77">
        <v>6</v>
      </c>
      <c r="G77">
        <v>1420</v>
      </c>
      <c r="H77">
        <f t="shared" si="1"/>
        <v>8520</v>
      </c>
    </row>
    <row r="78" spans="1:8" x14ac:dyDescent="0.25">
      <c r="A78">
        <v>76</v>
      </c>
      <c r="B78" s="2">
        <v>45540</v>
      </c>
      <c r="C78" t="s">
        <v>12</v>
      </c>
      <c r="D78" t="s">
        <v>18</v>
      </c>
      <c r="E78" t="s">
        <v>22</v>
      </c>
      <c r="F78">
        <v>5</v>
      </c>
      <c r="G78">
        <v>1200</v>
      </c>
      <c r="H78">
        <f t="shared" si="1"/>
        <v>6000</v>
      </c>
    </row>
    <row r="79" spans="1:8" x14ac:dyDescent="0.25">
      <c r="A79">
        <v>77</v>
      </c>
      <c r="B79" s="2">
        <v>45552</v>
      </c>
      <c r="C79" t="s">
        <v>13</v>
      </c>
      <c r="D79" t="s">
        <v>17</v>
      </c>
      <c r="E79" t="s">
        <v>23</v>
      </c>
      <c r="F79">
        <v>4</v>
      </c>
      <c r="G79">
        <v>2100</v>
      </c>
      <c r="H79">
        <f t="shared" si="1"/>
        <v>8400</v>
      </c>
    </row>
    <row r="80" spans="1:8" x14ac:dyDescent="0.25">
      <c r="A80">
        <v>78</v>
      </c>
      <c r="B80" s="2">
        <v>45556</v>
      </c>
      <c r="C80" t="s">
        <v>14</v>
      </c>
      <c r="D80" t="s">
        <v>15</v>
      </c>
      <c r="E80" t="s">
        <v>21</v>
      </c>
      <c r="F80">
        <v>3</v>
      </c>
      <c r="G80">
        <v>300</v>
      </c>
      <c r="H80">
        <f t="shared" si="1"/>
        <v>900</v>
      </c>
    </row>
    <row r="81" spans="1:8" x14ac:dyDescent="0.25">
      <c r="A81">
        <v>79</v>
      </c>
      <c r="B81" s="2">
        <v>45557</v>
      </c>
      <c r="C81" t="s">
        <v>9</v>
      </c>
      <c r="D81" t="s">
        <v>18</v>
      </c>
      <c r="E81" t="s">
        <v>24</v>
      </c>
      <c r="F81">
        <v>2</v>
      </c>
      <c r="G81">
        <v>190</v>
      </c>
      <c r="H81">
        <f t="shared" si="1"/>
        <v>380</v>
      </c>
    </row>
    <row r="82" spans="1:8" x14ac:dyDescent="0.25">
      <c r="A82">
        <v>80</v>
      </c>
      <c r="B82" s="2">
        <v>45558</v>
      </c>
      <c r="C82" t="s">
        <v>10</v>
      </c>
      <c r="D82" t="s">
        <v>16</v>
      </c>
      <c r="E82" t="s">
        <v>19</v>
      </c>
      <c r="F82">
        <v>7</v>
      </c>
      <c r="G82">
        <v>210</v>
      </c>
      <c r="H82">
        <f t="shared" si="1"/>
        <v>1470</v>
      </c>
    </row>
    <row r="83" spans="1:8" x14ac:dyDescent="0.25">
      <c r="A83">
        <v>81</v>
      </c>
      <c r="B83" s="2">
        <v>45569</v>
      </c>
      <c r="C83" t="s">
        <v>11</v>
      </c>
      <c r="D83" t="s">
        <v>16</v>
      </c>
      <c r="E83" t="s">
        <v>19</v>
      </c>
      <c r="F83">
        <v>6</v>
      </c>
      <c r="G83">
        <v>1420</v>
      </c>
      <c r="H83">
        <f t="shared" si="1"/>
        <v>8520</v>
      </c>
    </row>
    <row r="84" spans="1:8" x14ac:dyDescent="0.25">
      <c r="A84">
        <v>82</v>
      </c>
      <c r="B84" s="2">
        <v>45589</v>
      </c>
      <c r="C84" t="s">
        <v>12</v>
      </c>
      <c r="D84" t="s">
        <v>15</v>
      </c>
      <c r="E84" t="s">
        <v>20</v>
      </c>
      <c r="F84">
        <v>5</v>
      </c>
      <c r="G84">
        <v>1200</v>
      </c>
      <c r="H84">
        <f t="shared" si="1"/>
        <v>6000</v>
      </c>
    </row>
    <row r="85" spans="1:8" x14ac:dyDescent="0.25">
      <c r="A85">
        <v>83</v>
      </c>
      <c r="B85" s="2">
        <v>45590</v>
      </c>
      <c r="C85" t="s">
        <v>13</v>
      </c>
      <c r="D85" t="s">
        <v>15</v>
      </c>
      <c r="E85" t="s">
        <v>21</v>
      </c>
      <c r="F85">
        <v>4</v>
      </c>
      <c r="G85">
        <v>2100</v>
      </c>
      <c r="H85">
        <f t="shared" si="1"/>
        <v>8400</v>
      </c>
    </row>
    <row r="86" spans="1:8" x14ac:dyDescent="0.25">
      <c r="A86">
        <v>84</v>
      </c>
      <c r="B86" s="2">
        <v>45591</v>
      </c>
      <c r="C86" t="s">
        <v>14</v>
      </c>
      <c r="D86" t="s">
        <v>17</v>
      </c>
      <c r="E86" t="s">
        <v>22</v>
      </c>
      <c r="F86">
        <v>3</v>
      </c>
      <c r="G86">
        <v>300</v>
      </c>
      <c r="H86">
        <f t="shared" si="1"/>
        <v>900</v>
      </c>
    </row>
    <row r="87" spans="1:8" x14ac:dyDescent="0.25">
      <c r="A87">
        <v>85</v>
      </c>
      <c r="B87" s="2">
        <v>45592</v>
      </c>
      <c r="C87" t="s">
        <v>9</v>
      </c>
      <c r="D87" t="s">
        <v>15</v>
      </c>
      <c r="E87" t="s">
        <v>23</v>
      </c>
      <c r="F87">
        <v>2</v>
      </c>
      <c r="G87">
        <v>190</v>
      </c>
      <c r="H87">
        <f t="shared" si="1"/>
        <v>380</v>
      </c>
    </row>
    <row r="88" spans="1:8" x14ac:dyDescent="0.25">
      <c r="A88">
        <v>86</v>
      </c>
      <c r="B88" s="2">
        <v>45601</v>
      </c>
      <c r="C88" t="s">
        <v>10</v>
      </c>
      <c r="D88" t="s">
        <v>16</v>
      </c>
      <c r="E88" t="s">
        <v>21</v>
      </c>
      <c r="F88">
        <v>7</v>
      </c>
      <c r="G88">
        <v>210</v>
      </c>
      <c r="H88">
        <f t="shared" si="1"/>
        <v>1470</v>
      </c>
    </row>
    <row r="89" spans="1:8" x14ac:dyDescent="0.25">
      <c r="A89">
        <v>87</v>
      </c>
      <c r="B89" s="2">
        <v>45612</v>
      </c>
      <c r="C89" t="s">
        <v>11</v>
      </c>
      <c r="D89" t="s">
        <v>17</v>
      </c>
      <c r="E89" t="s">
        <v>24</v>
      </c>
      <c r="F89">
        <v>6</v>
      </c>
      <c r="G89">
        <v>1420</v>
      </c>
      <c r="H89">
        <f t="shared" si="1"/>
        <v>8520</v>
      </c>
    </row>
    <row r="90" spans="1:8" x14ac:dyDescent="0.25">
      <c r="A90">
        <v>88</v>
      </c>
      <c r="B90" s="2">
        <v>45613</v>
      </c>
      <c r="C90" t="s">
        <v>12</v>
      </c>
      <c r="D90" t="s">
        <v>15</v>
      </c>
      <c r="E90" t="s">
        <v>19</v>
      </c>
      <c r="F90">
        <v>5</v>
      </c>
      <c r="G90">
        <v>1200</v>
      </c>
      <c r="H90">
        <f t="shared" si="1"/>
        <v>6000</v>
      </c>
    </row>
    <row r="91" spans="1:8" x14ac:dyDescent="0.25">
      <c r="A91">
        <v>89</v>
      </c>
      <c r="B91" s="2">
        <v>45618</v>
      </c>
      <c r="C91" t="s">
        <v>13</v>
      </c>
      <c r="D91" t="s">
        <v>16</v>
      </c>
      <c r="E91" t="s">
        <v>19</v>
      </c>
      <c r="F91">
        <v>4</v>
      </c>
      <c r="G91">
        <v>2100</v>
      </c>
      <c r="H91">
        <f t="shared" si="1"/>
        <v>8400</v>
      </c>
    </row>
    <row r="92" spans="1:8" x14ac:dyDescent="0.25">
      <c r="A92">
        <v>90</v>
      </c>
      <c r="B92" s="2">
        <v>45637</v>
      </c>
      <c r="C92" t="s">
        <v>14</v>
      </c>
      <c r="D92" t="s">
        <v>18</v>
      </c>
      <c r="E92" t="s">
        <v>20</v>
      </c>
      <c r="F92">
        <v>3</v>
      </c>
      <c r="G92">
        <v>300</v>
      </c>
      <c r="H92">
        <f t="shared" si="1"/>
        <v>900</v>
      </c>
    </row>
    <row r="93" spans="1:8" x14ac:dyDescent="0.25">
      <c r="A93">
        <v>91</v>
      </c>
      <c r="B93" s="2">
        <v>45638</v>
      </c>
      <c r="C93" t="s">
        <v>9</v>
      </c>
      <c r="D93" t="s">
        <v>17</v>
      </c>
      <c r="E93" t="s">
        <v>21</v>
      </c>
      <c r="F93">
        <v>2</v>
      </c>
      <c r="G93">
        <v>190</v>
      </c>
      <c r="H93">
        <f t="shared" si="1"/>
        <v>380</v>
      </c>
    </row>
    <row r="94" spans="1:8" x14ac:dyDescent="0.25">
      <c r="A94">
        <v>92</v>
      </c>
      <c r="B94" s="2">
        <v>45639</v>
      </c>
      <c r="C94" t="s">
        <v>10</v>
      </c>
      <c r="D94" t="s">
        <v>15</v>
      </c>
      <c r="E94" t="s">
        <v>22</v>
      </c>
      <c r="F94">
        <v>7</v>
      </c>
      <c r="G94">
        <v>210</v>
      </c>
      <c r="H94">
        <f t="shared" si="1"/>
        <v>1470</v>
      </c>
    </row>
    <row r="95" spans="1:8" x14ac:dyDescent="0.25">
      <c r="A95">
        <v>93</v>
      </c>
      <c r="B95" s="2">
        <v>45647</v>
      </c>
      <c r="C95" t="s">
        <v>11</v>
      </c>
      <c r="D95" t="s">
        <v>18</v>
      </c>
      <c r="E95" t="s">
        <v>23</v>
      </c>
      <c r="F95">
        <v>6</v>
      </c>
      <c r="G95">
        <v>1420</v>
      </c>
      <c r="H95">
        <f t="shared" si="1"/>
        <v>8520</v>
      </c>
    </row>
    <row r="96" spans="1:8" x14ac:dyDescent="0.25">
      <c r="A96">
        <v>94</v>
      </c>
      <c r="B96" s="2">
        <v>45648</v>
      </c>
      <c r="C96" t="s">
        <v>12</v>
      </c>
      <c r="D96" t="s">
        <v>16</v>
      </c>
      <c r="E96" t="s">
        <v>21</v>
      </c>
      <c r="F96">
        <v>5</v>
      </c>
      <c r="G96">
        <v>1200</v>
      </c>
      <c r="H96">
        <f t="shared" si="1"/>
        <v>6000</v>
      </c>
    </row>
    <row r="97" spans="1:8" x14ac:dyDescent="0.25">
      <c r="A97">
        <v>95</v>
      </c>
      <c r="B97" s="2">
        <v>45649</v>
      </c>
      <c r="C97" t="s">
        <v>13</v>
      </c>
      <c r="D97" t="s">
        <v>16</v>
      </c>
      <c r="E97" t="s">
        <v>24</v>
      </c>
      <c r="F97">
        <v>4</v>
      </c>
      <c r="G97">
        <v>2100</v>
      </c>
      <c r="H97">
        <f t="shared" si="1"/>
        <v>8400</v>
      </c>
    </row>
    <row r="98" spans="1:8" x14ac:dyDescent="0.25">
      <c r="A98">
        <v>96</v>
      </c>
      <c r="B98" s="2">
        <v>45650</v>
      </c>
      <c r="C98" t="s">
        <v>14</v>
      </c>
      <c r="D98" t="s">
        <v>15</v>
      </c>
      <c r="E98" t="s">
        <v>19</v>
      </c>
      <c r="F98">
        <v>3</v>
      </c>
      <c r="G98">
        <v>300</v>
      </c>
      <c r="H98">
        <f t="shared" si="1"/>
        <v>900</v>
      </c>
    </row>
    <row r="99" spans="1:8" x14ac:dyDescent="0.25">
      <c r="A99">
        <v>97</v>
      </c>
      <c r="B99" s="2">
        <v>45651</v>
      </c>
      <c r="C99" t="s">
        <v>9</v>
      </c>
      <c r="D99" t="s">
        <v>15</v>
      </c>
      <c r="E99" t="s">
        <v>19</v>
      </c>
      <c r="F99">
        <v>2</v>
      </c>
      <c r="G99">
        <v>190</v>
      </c>
      <c r="H99">
        <f t="shared" si="1"/>
        <v>380</v>
      </c>
    </row>
    <row r="100" spans="1:8" x14ac:dyDescent="0.25">
      <c r="A100">
        <v>98</v>
      </c>
      <c r="B100" s="2">
        <v>45652</v>
      </c>
      <c r="C100" t="s">
        <v>10</v>
      </c>
      <c r="D100" t="s">
        <v>17</v>
      </c>
      <c r="E100" t="s">
        <v>20</v>
      </c>
      <c r="F100">
        <v>5</v>
      </c>
      <c r="G100">
        <v>210</v>
      </c>
      <c r="H100">
        <f t="shared" si="1"/>
        <v>1050</v>
      </c>
    </row>
    <row r="101" spans="1:8" x14ac:dyDescent="0.25">
      <c r="A101">
        <v>99</v>
      </c>
      <c r="B101" s="2">
        <v>45654</v>
      </c>
      <c r="C101" t="s">
        <v>11</v>
      </c>
      <c r="D101" t="s">
        <v>15</v>
      </c>
      <c r="E101" t="s">
        <v>21</v>
      </c>
      <c r="F101">
        <v>7</v>
      </c>
      <c r="G101">
        <v>1420</v>
      </c>
      <c r="H101">
        <f t="shared" si="1"/>
        <v>9940</v>
      </c>
    </row>
    <row r="102" spans="1:8" x14ac:dyDescent="0.25">
      <c r="A102">
        <v>100</v>
      </c>
      <c r="B102" s="2">
        <v>45656</v>
      </c>
      <c r="C102" t="s">
        <v>12</v>
      </c>
      <c r="D102" t="s">
        <v>16</v>
      </c>
      <c r="E102" t="s">
        <v>22</v>
      </c>
      <c r="F102">
        <v>6</v>
      </c>
      <c r="G102">
        <v>1200</v>
      </c>
      <c r="H102">
        <f t="shared" si="1"/>
        <v>7200</v>
      </c>
    </row>
  </sheetData>
  <mergeCells count="1">
    <mergeCell ref="A1:H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selection sqref="A1:H101"/>
    </sheetView>
  </sheetViews>
  <sheetFormatPr defaultRowHeight="15" x14ac:dyDescent="0.25"/>
  <cols>
    <col min="3" max="3" width="11.5703125" customWidth="1"/>
    <col min="4" max="4" width="9.28515625" customWidth="1"/>
    <col min="6" max="6" width="10.85546875" customWidth="1"/>
    <col min="8" max="8" width="10.28515625" customWidth="1"/>
  </cols>
  <sheetData>
    <row r="1" spans="1:8" x14ac:dyDescent="0.25">
      <c r="A1" t="s">
        <v>1</v>
      </c>
      <c r="B1" t="s">
        <v>2</v>
      </c>
      <c r="C1" t="s">
        <v>3</v>
      </c>
      <c r="D1" t="s">
        <v>4</v>
      </c>
      <c r="E1" t="s">
        <v>5</v>
      </c>
      <c r="F1" t="s">
        <v>6</v>
      </c>
      <c r="G1" t="s">
        <v>7</v>
      </c>
      <c r="H1" t="s">
        <v>8</v>
      </c>
    </row>
    <row r="2" spans="1:8" x14ac:dyDescent="0.25">
      <c r="A2">
        <v>1</v>
      </c>
      <c r="B2" s="2">
        <v>45292</v>
      </c>
      <c r="C2" t="s">
        <v>9</v>
      </c>
      <c r="D2" t="s">
        <v>15</v>
      </c>
      <c r="E2" t="s">
        <v>19</v>
      </c>
      <c r="F2">
        <v>7</v>
      </c>
      <c r="G2">
        <v>210</v>
      </c>
      <c r="H2">
        <v>1470</v>
      </c>
    </row>
    <row r="3" spans="1:8" x14ac:dyDescent="0.25">
      <c r="A3">
        <v>2</v>
      </c>
      <c r="B3" s="2">
        <v>45292</v>
      </c>
      <c r="C3" t="s">
        <v>10</v>
      </c>
      <c r="D3" t="s">
        <v>16</v>
      </c>
      <c r="E3" t="s">
        <v>20</v>
      </c>
      <c r="F3">
        <v>6</v>
      </c>
      <c r="G3">
        <v>1420</v>
      </c>
      <c r="H3">
        <v>8520</v>
      </c>
    </row>
    <row r="4" spans="1:8" x14ac:dyDescent="0.25">
      <c r="A4">
        <v>3</v>
      </c>
      <c r="B4" s="2">
        <v>45293</v>
      </c>
      <c r="C4" t="s">
        <v>11</v>
      </c>
      <c r="D4" t="s">
        <v>17</v>
      </c>
      <c r="E4" t="s">
        <v>21</v>
      </c>
      <c r="F4">
        <v>5</v>
      </c>
      <c r="G4">
        <v>1200</v>
      </c>
      <c r="H4">
        <v>6000</v>
      </c>
    </row>
    <row r="5" spans="1:8" x14ac:dyDescent="0.25">
      <c r="A5">
        <v>4</v>
      </c>
      <c r="B5" s="2">
        <v>45294</v>
      </c>
      <c r="C5" t="s">
        <v>12</v>
      </c>
      <c r="D5" t="s">
        <v>15</v>
      </c>
      <c r="E5" t="s">
        <v>22</v>
      </c>
      <c r="F5">
        <v>4</v>
      </c>
      <c r="G5">
        <v>2100</v>
      </c>
      <c r="H5">
        <v>8400</v>
      </c>
    </row>
    <row r="6" spans="1:8" x14ac:dyDescent="0.25">
      <c r="A6">
        <v>5</v>
      </c>
      <c r="B6" s="2">
        <v>45295</v>
      </c>
      <c r="C6" t="s">
        <v>13</v>
      </c>
      <c r="D6" t="s">
        <v>16</v>
      </c>
      <c r="E6" t="s">
        <v>23</v>
      </c>
      <c r="F6">
        <v>3</v>
      </c>
      <c r="G6">
        <v>300</v>
      </c>
      <c r="H6">
        <v>900</v>
      </c>
    </row>
    <row r="7" spans="1:8" x14ac:dyDescent="0.25">
      <c r="A7">
        <v>6</v>
      </c>
      <c r="B7" s="2">
        <v>45296</v>
      </c>
      <c r="C7" t="s">
        <v>14</v>
      </c>
      <c r="D7" t="s">
        <v>18</v>
      </c>
      <c r="E7" t="s">
        <v>21</v>
      </c>
      <c r="F7">
        <v>2</v>
      </c>
      <c r="G7">
        <v>190</v>
      </c>
      <c r="H7">
        <v>380</v>
      </c>
    </row>
    <row r="8" spans="1:8" x14ac:dyDescent="0.25">
      <c r="A8">
        <v>7</v>
      </c>
      <c r="B8" s="2">
        <v>45297</v>
      </c>
      <c r="C8" t="s">
        <v>9</v>
      </c>
      <c r="D8" t="s">
        <v>17</v>
      </c>
      <c r="E8" t="s">
        <v>24</v>
      </c>
      <c r="F8">
        <v>7</v>
      </c>
      <c r="G8">
        <v>210</v>
      </c>
      <c r="H8">
        <v>1470</v>
      </c>
    </row>
    <row r="9" spans="1:8" x14ac:dyDescent="0.25">
      <c r="A9">
        <v>8</v>
      </c>
      <c r="B9" s="2">
        <v>45297</v>
      </c>
      <c r="C9" t="s">
        <v>10</v>
      </c>
      <c r="D9" t="s">
        <v>15</v>
      </c>
      <c r="E9" t="s">
        <v>19</v>
      </c>
      <c r="F9">
        <v>6</v>
      </c>
      <c r="G9">
        <v>1420</v>
      </c>
      <c r="H9">
        <v>8520</v>
      </c>
    </row>
    <row r="10" spans="1:8" x14ac:dyDescent="0.25">
      <c r="A10">
        <v>9</v>
      </c>
      <c r="B10" s="2">
        <v>45297</v>
      </c>
      <c r="C10" t="s">
        <v>11</v>
      </c>
      <c r="D10" t="s">
        <v>18</v>
      </c>
      <c r="E10" t="s">
        <v>19</v>
      </c>
      <c r="F10">
        <v>5</v>
      </c>
      <c r="G10">
        <v>1200</v>
      </c>
      <c r="H10">
        <v>6000</v>
      </c>
    </row>
    <row r="11" spans="1:8" x14ac:dyDescent="0.25">
      <c r="A11">
        <v>10</v>
      </c>
      <c r="B11" s="2">
        <v>45298</v>
      </c>
      <c r="C11" t="s">
        <v>12</v>
      </c>
      <c r="D11" t="s">
        <v>16</v>
      </c>
      <c r="E11" t="s">
        <v>20</v>
      </c>
      <c r="F11">
        <v>4</v>
      </c>
      <c r="G11">
        <v>2100</v>
      </c>
      <c r="H11">
        <v>8400</v>
      </c>
    </row>
    <row r="12" spans="1:8" x14ac:dyDescent="0.25">
      <c r="A12">
        <v>11</v>
      </c>
      <c r="B12" s="2">
        <v>45299</v>
      </c>
      <c r="C12" t="s">
        <v>13</v>
      </c>
      <c r="D12" t="s">
        <v>16</v>
      </c>
      <c r="E12" t="s">
        <v>21</v>
      </c>
      <c r="F12">
        <v>3</v>
      </c>
      <c r="G12">
        <v>300</v>
      </c>
      <c r="H12">
        <v>900</v>
      </c>
    </row>
    <row r="13" spans="1:8" x14ac:dyDescent="0.25">
      <c r="A13">
        <v>12</v>
      </c>
      <c r="B13" s="2">
        <v>45300</v>
      </c>
      <c r="C13" t="s">
        <v>14</v>
      </c>
      <c r="D13" t="s">
        <v>15</v>
      </c>
      <c r="E13" t="s">
        <v>22</v>
      </c>
      <c r="F13">
        <v>2</v>
      </c>
      <c r="G13">
        <v>190</v>
      </c>
      <c r="H13">
        <v>380</v>
      </c>
    </row>
    <row r="14" spans="1:8" x14ac:dyDescent="0.25">
      <c r="A14">
        <v>13</v>
      </c>
      <c r="B14" s="2">
        <v>45301</v>
      </c>
      <c r="C14" t="s">
        <v>9</v>
      </c>
      <c r="D14" t="s">
        <v>15</v>
      </c>
      <c r="E14" t="s">
        <v>23</v>
      </c>
      <c r="F14">
        <v>7</v>
      </c>
      <c r="G14">
        <v>210</v>
      </c>
      <c r="H14">
        <v>1470</v>
      </c>
    </row>
    <row r="15" spans="1:8" x14ac:dyDescent="0.25">
      <c r="A15">
        <v>14</v>
      </c>
      <c r="B15" s="2">
        <v>45302</v>
      </c>
      <c r="C15" t="s">
        <v>10</v>
      </c>
      <c r="D15" t="s">
        <v>17</v>
      </c>
      <c r="E15" t="s">
        <v>21</v>
      </c>
      <c r="F15">
        <v>7</v>
      </c>
      <c r="G15">
        <v>1420</v>
      </c>
      <c r="H15">
        <v>9940</v>
      </c>
    </row>
    <row r="16" spans="1:8" x14ac:dyDescent="0.25">
      <c r="A16">
        <v>15</v>
      </c>
      <c r="B16" s="2">
        <v>45303</v>
      </c>
      <c r="C16" t="s">
        <v>11</v>
      </c>
      <c r="D16" t="s">
        <v>15</v>
      </c>
      <c r="E16" t="s">
        <v>24</v>
      </c>
      <c r="F16">
        <v>5</v>
      </c>
      <c r="G16">
        <v>1200</v>
      </c>
      <c r="H16">
        <v>6000</v>
      </c>
    </row>
    <row r="17" spans="1:8" x14ac:dyDescent="0.25">
      <c r="A17">
        <v>16</v>
      </c>
      <c r="B17" s="2">
        <v>45304</v>
      </c>
      <c r="C17" t="s">
        <v>12</v>
      </c>
      <c r="D17" t="s">
        <v>16</v>
      </c>
      <c r="E17" t="s">
        <v>19</v>
      </c>
      <c r="F17">
        <v>6</v>
      </c>
      <c r="G17">
        <v>2100</v>
      </c>
      <c r="H17">
        <v>12600</v>
      </c>
    </row>
    <row r="18" spans="1:8" x14ac:dyDescent="0.25">
      <c r="A18">
        <v>17</v>
      </c>
      <c r="B18" s="2">
        <v>45307</v>
      </c>
      <c r="C18" t="s">
        <v>13</v>
      </c>
      <c r="D18" t="s">
        <v>17</v>
      </c>
      <c r="E18" t="s">
        <v>19</v>
      </c>
      <c r="F18">
        <v>7</v>
      </c>
      <c r="G18">
        <v>300</v>
      </c>
      <c r="H18">
        <v>2100</v>
      </c>
    </row>
    <row r="19" spans="1:8" x14ac:dyDescent="0.25">
      <c r="A19">
        <v>18</v>
      </c>
      <c r="B19" s="2">
        <v>45308</v>
      </c>
      <c r="C19" t="s">
        <v>14</v>
      </c>
      <c r="D19" t="s">
        <v>15</v>
      </c>
      <c r="E19" t="s">
        <v>20</v>
      </c>
      <c r="F19">
        <v>6</v>
      </c>
      <c r="G19">
        <v>190</v>
      </c>
      <c r="H19">
        <v>1140</v>
      </c>
    </row>
    <row r="20" spans="1:8" x14ac:dyDescent="0.25">
      <c r="A20">
        <v>19</v>
      </c>
      <c r="B20" s="2">
        <v>45309</v>
      </c>
      <c r="C20" t="s">
        <v>9</v>
      </c>
      <c r="D20" t="s">
        <v>16</v>
      </c>
      <c r="E20" t="s">
        <v>21</v>
      </c>
      <c r="F20">
        <v>5</v>
      </c>
      <c r="G20">
        <v>210</v>
      </c>
      <c r="H20">
        <v>1050</v>
      </c>
    </row>
    <row r="21" spans="1:8" x14ac:dyDescent="0.25">
      <c r="A21">
        <v>20</v>
      </c>
      <c r="B21" s="2">
        <v>45310</v>
      </c>
      <c r="C21" t="s">
        <v>10</v>
      </c>
      <c r="D21" t="s">
        <v>18</v>
      </c>
      <c r="E21" t="s">
        <v>22</v>
      </c>
      <c r="F21">
        <v>4</v>
      </c>
      <c r="G21">
        <v>1420</v>
      </c>
      <c r="H21">
        <v>5680</v>
      </c>
    </row>
    <row r="22" spans="1:8" x14ac:dyDescent="0.25">
      <c r="A22">
        <v>21</v>
      </c>
      <c r="B22" s="2">
        <v>45311</v>
      </c>
      <c r="C22" t="s">
        <v>11</v>
      </c>
      <c r="D22" t="s">
        <v>17</v>
      </c>
      <c r="E22" t="s">
        <v>23</v>
      </c>
      <c r="F22">
        <v>3</v>
      </c>
      <c r="G22">
        <v>1200</v>
      </c>
      <c r="H22">
        <v>3600</v>
      </c>
    </row>
    <row r="23" spans="1:8" x14ac:dyDescent="0.25">
      <c r="A23">
        <v>22</v>
      </c>
      <c r="B23" s="2">
        <v>45312</v>
      </c>
      <c r="C23" t="s">
        <v>12</v>
      </c>
      <c r="D23" t="s">
        <v>15</v>
      </c>
      <c r="E23" t="s">
        <v>21</v>
      </c>
      <c r="F23">
        <v>2</v>
      </c>
      <c r="G23">
        <v>2100</v>
      </c>
      <c r="H23">
        <v>4200</v>
      </c>
    </row>
    <row r="24" spans="1:8" x14ac:dyDescent="0.25">
      <c r="A24">
        <v>23</v>
      </c>
      <c r="B24" s="2">
        <v>45313</v>
      </c>
      <c r="C24" t="s">
        <v>13</v>
      </c>
      <c r="D24" t="s">
        <v>18</v>
      </c>
      <c r="E24" t="s">
        <v>24</v>
      </c>
      <c r="F24">
        <v>7</v>
      </c>
      <c r="G24">
        <v>300</v>
      </c>
      <c r="H24">
        <v>2100</v>
      </c>
    </row>
    <row r="25" spans="1:8" x14ac:dyDescent="0.25">
      <c r="A25">
        <v>24</v>
      </c>
      <c r="B25" s="2">
        <v>45314</v>
      </c>
      <c r="C25" t="s">
        <v>14</v>
      </c>
      <c r="D25" t="s">
        <v>16</v>
      </c>
      <c r="E25" t="s">
        <v>19</v>
      </c>
      <c r="F25">
        <v>6</v>
      </c>
      <c r="G25">
        <v>190</v>
      </c>
      <c r="H25">
        <v>1140</v>
      </c>
    </row>
    <row r="26" spans="1:8" x14ac:dyDescent="0.25">
      <c r="A26">
        <v>25</v>
      </c>
      <c r="B26" s="2">
        <v>45324</v>
      </c>
      <c r="C26" t="s">
        <v>9</v>
      </c>
      <c r="D26" t="s">
        <v>16</v>
      </c>
      <c r="E26" t="s">
        <v>19</v>
      </c>
      <c r="F26">
        <v>5</v>
      </c>
      <c r="G26">
        <v>210</v>
      </c>
      <c r="H26">
        <v>1050</v>
      </c>
    </row>
    <row r="27" spans="1:8" x14ac:dyDescent="0.25">
      <c r="A27">
        <v>26</v>
      </c>
      <c r="B27" s="2">
        <v>45325</v>
      </c>
      <c r="C27" t="s">
        <v>10</v>
      </c>
      <c r="D27" t="s">
        <v>15</v>
      </c>
      <c r="E27" t="s">
        <v>20</v>
      </c>
      <c r="F27">
        <v>4</v>
      </c>
      <c r="G27">
        <v>1420</v>
      </c>
      <c r="H27">
        <v>5680</v>
      </c>
    </row>
    <row r="28" spans="1:8" x14ac:dyDescent="0.25">
      <c r="A28">
        <v>27</v>
      </c>
      <c r="B28" s="2">
        <v>45326</v>
      </c>
      <c r="C28" t="s">
        <v>11</v>
      </c>
      <c r="D28" t="s">
        <v>15</v>
      </c>
      <c r="E28" t="s">
        <v>21</v>
      </c>
      <c r="F28">
        <v>3</v>
      </c>
      <c r="G28">
        <v>1200</v>
      </c>
      <c r="H28">
        <v>3600</v>
      </c>
    </row>
    <row r="29" spans="1:8" x14ac:dyDescent="0.25">
      <c r="A29">
        <v>28</v>
      </c>
      <c r="B29" s="2">
        <v>45327</v>
      </c>
      <c r="C29" t="s">
        <v>12</v>
      </c>
      <c r="D29" t="s">
        <v>17</v>
      </c>
      <c r="E29" t="s">
        <v>22</v>
      </c>
      <c r="F29">
        <v>2</v>
      </c>
      <c r="G29">
        <v>2100</v>
      </c>
      <c r="H29">
        <v>4200</v>
      </c>
    </row>
    <row r="30" spans="1:8" x14ac:dyDescent="0.25">
      <c r="A30">
        <v>29</v>
      </c>
      <c r="B30" s="2">
        <v>45328</v>
      </c>
      <c r="C30" t="s">
        <v>13</v>
      </c>
      <c r="D30" t="s">
        <v>15</v>
      </c>
      <c r="E30" t="s">
        <v>23</v>
      </c>
      <c r="F30">
        <v>7</v>
      </c>
      <c r="G30">
        <v>300</v>
      </c>
      <c r="H30">
        <v>2100</v>
      </c>
    </row>
    <row r="31" spans="1:8" x14ac:dyDescent="0.25">
      <c r="A31">
        <v>30</v>
      </c>
      <c r="B31" s="2">
        <v>45329</v>
      </c>
      <c r="C31" t="s">
        <v>14</v>
      </c>
      <c r="D31" t="s">
        <v>16</v>
      </c>
      <c r="E31" t="s">
        <v>21</v>
      </c>
      <c r="F31">
        <v>6</v>
      </c>
      <c r="G31">
        <v>190</v>
      </c>
      <c r="H31">
        <v>1140</v>
      </c>
    </row>
    <row r="32" spans="1:8" x14ac:dyDescent="0.25">
      <c r="A32">
        <v>31</v>
      </c>
      <c r="B32" s="2">
        <v>45330</v>
      </c>
      <c r="C32" t="s">
        <v>9</v>
      </c>
      <c r="D32" t="s">
        <v>17</v>
      </c>
      <c r="E32" t="s">
        <v>24</v>
      </c>
      <c r="F32">
        <v>5</v>
      </c>
      <c r="G32">
        <v>210</v>
      </c>
      <c r="H32">
        <v>1050</v>
      </c>
    </row>
    <row r="33" spans="1:8" x14ac:dyDescent="0.25">
      <c r="A33">
        <v>32</v>
      </c>
      <c r="B33" s="2">
        <v>45331</v>
      </c>
      <c r="C33" t="s">
        <v>10</v>
      </c>
      <c r="D33" t="s">
        <v>15</v>
      </c>
      <c r="E33" t="s">
        <v>19</v>
      </c>
      <c r="F33">
        <v>4</v>
      </c>
      <c r="G33">
        <v>1420</v>
      </c>
      <c r="H33">
        <v>5680</v>
      </c>
    </row>
    <row r="34" spans="1:8" x14ac:dyDescent="0.25">
      <c r="A34">
        <v>33</v>
      </c>
      <c r="B34" s="2">
        <v>45332</v>
      </c>
      <c r="C34" t="s">
        <v>11</v>
      </c>
      <c r="D34" t="s">
        <v>16</v>
      </c>
      <c r="E34" t="s">
        <v>19</v>
      </c>
      <c r="F34">
        <v>3</v>
      </c>
      <c r="G34">
        <v>1200</v>
      </c>
      <c r="H34">
        <v>3600</v>
      </c>
    </row>
    <row r="35" spans="1:8" x14ac:dyDescent="0.25">
      <c r="A35">
        <v>34</v>
      </c>
      <c r="B35" s="2">
        <v>45333</v>
      </c>
      <c r="C35" t="s">
        <v>12</v>
      </c>
      <c r="D35" t="s">
        <v>18</v>
      </c>
      <c r="E35" t="s">
        <v>20</v>
      </c>
      <c r="F35">
        <v>2</v>
      </c>
      <c r="G35">
        <v>2100</v>
      </c>
      <c r="H35">
        <v>4200</v>
      </c>
    </row>
    <row r="36" spans="1:8" x14ac:dyDescent="0.25">
      <c r="A36">
        <v>35</v>
      </c>
      <c r="B36" s="2">
        <v>45335</v>
      </c>
      <c r="C36" t="s">
        <v>13</v>
      </c>
      <c r="D36" t="s">
        <v>17</v>
      </c>
      <c r="E36" t="s">
        <v>21</v>
      </c>
      <c r="F36">
        <v>2</v>
      </c>
      <c r="G36">
        <v>300</v>
      </c>
      <c r="H36">
        <v>600</v>
      </c>
    </row>
    <row r="37" spans="1:8" x14ac:dyDescent="0.25">
      <c r="A37">
        <v>36</v>
      </c>
      <c r="B37" s="2">
        <v>45335</v>
      </c>
      <c r="C37" t="s">
        <v>14</v>
      </c>
      <c r="D37" t="s">
        <v>15</v>
      </c>
      <c r="E37" t="s">
        <v>22</v>
      </c>
      <c r="F37">
        <v>5</v>
      </c>
      <c r="G37">
        <v>190</v>
      </c>
      <c r="H37">
        <v>950</v>
      </c>
    </row>
    <row r="38" spans="1:8" x14ac:dyDescent="0.25">
      <c r="A38">
        <v>37</v>
      </c>
      <c r="B38" s="2">
        <v>45345</v>
      </c>
      <c r="C38" t="s">
        <v>9</v>
      </c>
      <c r="D38" t="s">
        <v>18</v>
      </c>
      <c r="E38" t="s">
        <v>23</v>
      </c>
      <c r="F38">
        <v>7</v>
      </c>
      <c r="G38">
        <v>210</v>
      </c>
      <c r="H38">
        <v>1470</v>
      </c>
    </row>
    <row r="39" spans="1:8" x14ac:dyDescent="0.25">
      <c r="A39">
        <v>38</v>
      </c>
      <c r="B39" s="2">
        <v>45350</v>
      </c>
      <c r="C39" t="s">
        <v>10</v>
      </c>
      <c r="D39" t="s">
        <v>16</v>
      </c>
      <c r="E39" t="s">
        <v>21</v>
      </c>
      <c r="F39">
        <v>6</v>
      </c>
      <c r="G39">
        <v>1420</v>
      </c>
      <c r="H39">
        <v>8520</v>
      </c>
    </row>
    <row r="40" spans="1:8" x14ac:dyDescent="0.25">
      <c r="A40">
        <v>39</v>
      </c>
      <c r="B40" s="2">
        <v>45355</v>
      </c>
      <c r="C40" t="s">
        <v>11</v>
      </c>
      <c r="D40" t="s">
        <v>16</v>
      </c>
      <c r="E40" t="s">
        <v>24</v>
      </c>
      <c r="F40">
        <v>5</v>
      </c>
      <c r="G40">
        <v>1200</v>
      </c>
      <c r="H40">
        <v>6000</v>
      </c>
    </row>
    <row r="41" spans="1:8" x14ac:dyDescent="0.25">
      <c r="A41">
        <v>40</v>
      </c>
      <c r="B41" s="2">
        <v>45356</v>
      </c>
      <c r="C41" t="s">
        <v>12</v>
      </c>
      <c r="D41" t="s">
        <v>15</v>
      </c>
      <c r="E41" t="s">
        <v>19</v>
      </c>
      <c r="F41">
        <v>7</v>
      </c>
      <c r="G41">
        <v>2100</v>
      </c>
      <c r="H41">
        <v>14700</v>
      </c>
    </row>
    <row r="42" spans="1:8" x14ac:dyDescent="0.25">
      <c r="A42">
        <v>41</v>
      </c>
      <c r="B42" s="2">
        <v>45357</v>
      </c>
      <c r="C42" t="s">
        <v>13</v>
      </c>
      <c r="D42" t="s">
        <v>15</v>
      </c>
      <c r="E42" t="s">
        <v>19</v>
      </c>
      <c r="F42">
        <v>7</v>
      </c>
      <c r="G42">
        <v>300</v>
      </c>
      <c r="H42">
        <v>2100</v>
      </c>
    </row>
    <row r="43" spans="1:8" x14ac:dyDescent="0.25">
      <c r="A43">
        <v>42</v>
      </c>
      <c r="B43" s="2">
        <v>45358</v>
      </c>
      <c r="C43" t="s">
        <v>14</v>
      </c>
      <c r="D43" t="s">
        <v>17</v>
      </c>
      <c r="E43" t="s">
        <v>20</v>
      </c>
      <c r="F43">
        <v>2</v>
      </c>
      <c r="G43">
        <v>190</v>
      </c>
      <c r="H43">
        <v>380</v>
      </c>
    </row>
    <row r="44" spans="1:8" x14ac:dyDescent="0.25">
      <c r="A44">
        <v>43</v>
      </c>
      <c r="B44" s="2">
        <v>45359</v>
      </c>
      <c r="C44" t="s">
        <v>9</v>
      </c>
      <c r="D44" t="s">
        <v>15</v>
      </c>
      <c r="E44" t="s">
        <v>21</v>
      </c>
      <c r="F44">
        <v>5</v>
      </c>
      <c r="G44">
        <v>210</v>
      </c>
      <c r="H44">
        <v>1050</v>
      </c>
    </row>
    <row r="45" spans="1:8" x14ac:dyDescent="0.25">
      <c r="A45">
        <v>44</v>
      </c>
      <c r="B45" s="2">
        <v>45360</v>
      </c>
      <c r="C45" t="s">
        <v>10</v>
      </c>
      <c r="D45" t="s">
        <v>16</v>
      </c>
      <c r="E45" t="s">
        <v>22</v>
      </c>
      <c r="F45">
        <v>7</v>
      </c>
      <c r="G45">
        <v>1420</v>
      </c>
      <c r="H45">
        <v>9940</v>
      </c>
    </row>
    <row r="46" spans="1:8" x14ac:dyDescent="0.25">
      <c r="A46">
        <v>45</v>
      </c>
      <c r="B46" s="2">
        <v>45361</v>
      </c>
      <c r="C46" t="s">
        <v>11</v>
      </c>
      <c r="D46" t="s">
        <v>17</v>
      </c>
      <c r="E46" t="s">
        <v>23</v>
      </c>
      <c r="F46">
        <v>6</v>
      </c>
      <c r="G46">
        <v>1200</v>
      </c>
      <c r="H46">
        <v>7200</v>
      </c>
    </row>
    <row r="47" spans="1:8" x14ac:dyDescent="0.25">
      <c r="A47">
        <v>46</v>
      </c>
      <c r="B47" s="2">
        <v>45362</v>
      </c>
      <c r="C47" t="s">
        <v>12</v>
      </c>
      <c r="D47" t="s">
        <v>15</v>
      </c>
      <c r="E47" t="s">
        <v>21</v>
      </c>
      <c r="F47">
        <v>5</v>
      </c>
      <c r="G47">
        <v>2100</v>
      </c>
      <c r="H47">
        <v>10500</v>
      </c>
    </row>
    <row r="48" spans="1:8" x14ac:dyDescent="0.25">
      <c r="A48">
        <v>47</v>
      </c>
      <c r="B48" s="2">
        <v>45363</v>
      </c>
      <c r="C48" t="s">
        <v>13</v>
      </c>
      <c r="D48" t="s">
        <v>16</v>
      </c>
      <c r="E48" t="s">
        <v>24</v>
      </c>
      <c r="F48">
        <v>4</v>
      </c>
      <c r="G48">
        <v>300</v>
      </c>
      <c r="H48">
        <v>1200</v>
      </c>
    </row>
    <row r="49" spans="1:8" x14ac:dyDescent="0.25">
      <c r="A49">
        <v>48</v>
      </c>
      <c r="B49" s="2">
        <v>45363</v>
      </c>
      <c r="C49" t="s">
        <v>14</v>
      </c>
      <c r="D49" t="s">
        <v>18</v>
      </c>
      <c r="E49" t="s">
        <v>19</v>
      </c>
      <c r="F49">
        <v>3</v>
      </c>
      <c r="G49">
        <v>190</v>
      </c>
      <c r="H49">
        <v>570</v>
      </c>
    </row>
    <row r="50" spans="1:8" x14ac:dyDescent="0.25">
      <c r="A50">
        <v>49</v>
      </c>
      <c r="B50" s="2">
        <v>45363</v>
      </c>
      <c r="C50" t="s">
        <v>9</v>
      </c>
      <c r="D50" t="s">
        <v>17</v>
      </c>
      <c r="E50" t="s">
        <v>19</v>
      </c>
      <c r="F50">
        <v>2</v>
      </c>
      <c r="G50">
        <v>210</v>
      </c>
      <c r="H50">
        <v>420</v>
      </c>
    </row>
    <row r="51" spans="1:8" x14ac:dyDescent="0.25">
      <c r="A51">
        <v>50</v>
      </c>
      <c r="B51" s="2">
        <v>45363</v>
      </c>
      <c r="C51" t="s">
        <v>10</v>
      </c>
      <c r="D51" t="s">
        <v>15</v>
      </c>
      <c r="E51" t="s">
        <v>20</v>
      </c>
      <c r="F51">
        <v>7</v>
      </c>
      <c r="G51">
        <v>1420</v>
      </c>
      <c r="H51">
        <v>9940</v>
      </c>
    </row>
    <row r="52" spans="1:8" x14ac:dyDescent="0.25">
      <c r="A52">
        <v>51</v>
      </c>
      <c r="B52" s="2">
        <v>45363</v>
      </c>
      <c r="C52" t="s">
        <v>11</v>
      </c>
      <c r="D52" t="s">
        <v>18</v>
      </c>
      <c r="E52" t="s">
        <v>21</v>
      </c>
      <c r="F52">
        <v>6</v>
      </c>
      <c r="G52">
        <v>1200</v>
      </c>
      <c r="H52">
        <v>7200</v>
      </c>
    </row>
    <row r="53" spans="1:8" x14ac:dyDescent="0.25">
      <c r="A53">
        <v>52</v>
      </c>
      <c r="B53" s="2">
        <v>45373</v>
      </c>
      <c r="C53" t="s">
        <v>12</v>
      </c>
      <c r="D53" t="s">
        <v>16</v>
      </c>
      <c r="E53" t="s">
        <v>22</v>
      </c>
      <c r="F53">
        <v>5</v>
      </c>
      <c r="G53">
        <v>2100</v>
      </c>
      <c r="H53">
        <v>10500</v>
      </c>
    </row>
    <row r="54" spans="1:8" x14ac:dyDescent="0.25">
      <c r="A54">
        <v>53</v>
      </c>
      <c r="B54" s="2">
        <v>45374</v>
      </c>
      <c r="C54" t="s">
        <v>13</v>
      </c>
      <c r="D54" t="s">
        <v>16</v>
      </c>
      <c r="E54" t="s">
        <v>23</v>
      </c>
      <c r="F54">
        <v>4</v>
      </c>
      <c r="G54">
        <v>300</v>
      </c>
      <c r="H54">
        <v>1200</v>
      </c>
    </row>
    <row r="55" spans="1:8" x14ac:dyDescent="0.25">
      <c r="A55">
        <v>54</v>
      </c>
      <c r="B55" s="2">
        <v>45375</v>
      </c>
      <c r="C55" t="s">
        <v>14</v>
      </c>
      <c r="D55" t="s">
        <v>15</v>
      </c>
      <c r="E55" t="s">
        <v>21</v>
      </c>
      <c r="F55">
        <v>3</v>
      </c>
      <c r="G55">
        <v>190</v>
      </c>
      <c r="H55">
        <v>570</v>
      </c>
    </row>
    <row r="56" spans="1:8" x14ac:dyDescent="0.25">
      <c r="A56">
        <v>55</v>
      </c>
      <c r="B56" s="2">
        <v>45376</v>
      </c>
      <c r="C56" t="s">
        <v>9</v>
      </c>
      <c r="D56" t="s">
        <v>15</v>
      </c>
      <c r="E56" t="s">
        <v>24</v>
      </c>
      <c r="F56">
        <v>2</v>
      </c>
      <c r="G56">
        <v>210</v>
      </c>
      <c r="H56">
        <v>420</v>
      </c>
    </row>
    <row r="57" spans="1:8" x14ac:dyDescent="0.25">
      <c r="A57">
        <v>56</v>
      </c>
      <c r="B57" s="2">
        <v>45393</v>
      </c>
      <c r="C57" t="s">
        <v>10</v>
      </c>
      <c r="D57" t="s">
        <v>17</v>
      </c>
      <c r="E57" t="s">
        <v>19</v>
      </c>
      <c r="F57">
        <v>7</v>
      </c>
      <c r="G57">
        <v>1420</v>
      </c>
      <c r="H57">
        <v>9940</v>
      </c>
    </row>
    <row r="58" spans="1:8" x14ac:dyDescent="0.25">
      <c r="A58">
        <v>57</v>
      </c>
      <c r="B58" s="2">
        <v>45400</v>
      </c>
      <c r="C58" t="s">
        <v>11</v>
      </c>
      <c r="D58" t="s">
        <v>15</v>
      </c>
      <c r="E58" t="s">
        <v>19</v>
      </c>
      <c r="F58">
        <v>6</v>
      </c>
      <c r="G58">
        <v>1200</v>
      </c>
      <c r="H58">
        <v>7200</v>
      </c>
    </row>
    <row r="59" spans="1:8" x14ac:dyDescent="0.25">
      <c r="A59">
        <v>58</v>
      </c>
      <c r="B59" s="2">
        <v>45408</v>
      </c>
      <c r="C59" t="s">
        <v>12</v>
      </c>
      <c r="D59" t="s">
        <v>16</v>
      </c>
      <c r="E59" t="s">
        <v>20</v>
      </c>
      <c r="F59">
        <v>5</v>
      </c>
      <c r="G59">
        <v>2100</v>
      </c>
      <c r="H59">
        <v>10500</v>
      </c>
    </row>
    <row r="60" spans="1:8" x14ac:dyDescent="0.25">
      <c r="A60">
        <v>59</v>
      </c>
      <c r="B60" s="2">
        <v>45409</v>
      </c>
      <c r="C60" t="s">
        <v>13</v>
      </c>
      <c r="D60" t="s">
        <v>17</v>
      </c>
      <c r="E60" t="s">
        <v>21</v>
      </c>
      <c r="F60">
        <v>4</v>
      </c>
      <c r="G60">
        <v>300</v>
      </c>
      <c r="H60">
        <v>1200</v>
      </c>
    </row>
    <row r="61" spans="1:8" x14ac:dyDescent="0.25">
      <c r="A61">
        <v>60</v>
      </c>
      <c r="B61" s="2">
        <v>45410</v>
      </c>
      <c r="C61" t="s">
        <v>14</v>
      </c>
      <c r="D61" t="s">
        <v>15</v>
      </c>
      <c r="E61" t="s">
        <v>22</v>
      </c>
      <c r="F61">
        <v>3</v>
      </c>
      <c r="G61">
        <v>190</v>
      </c>
      <c r="H61">
        <v>570</v>
      </c>
    </row>
    <row r="62" spans="1:8" x14ac:dyDescent="0.25">
      <c r="A62">
        <v>61</v>
      </c>
      <c r="B62" s="2">
        <v>45422</v>
      </c>
      <c r="C62" t="s">
        <v>9</v>
      </c>
      <c r="D62" t="s">
        <v>16</v>
      </c>
      <c r="E62" t="s">
        <v>23</v>
      </c>
      <c r="F62">
        <v>2</v>
      </c>
      <c r="G62">
        <v>210</v>
      </c>
      <c r="H62">
        <v>420</v>
      </c>
    </row>
    <row r="63" spans="1:8" x14ac:dyDescent="0.25">
      <c r="A63">
        <v>62</v>
      </c>
      <c r="B63" s="2">
        <v>45423</v>
      </c>
      <c r="C63" t="s">
        <v>10</v>
      </c>
      <c r="D63" t="s">
        <v>18</v>
      </c>
      <c r="E63" t="s">
        <v>21</v>
      </c>
      <c r="F63">
        <v>7</v>
      </c>
      <c r="G63">
        <v>1420</v>
      </c>
      <c r="H63">
        <v>9940</v>
      </c>
    </row>
    <row r="64" spans="1:8" x14ac:dyDescent="0.25">
      <c r="A64">
        <v>63</v>
      </c>
      <c r="B64" s="2">
        <v>45424</v>
      </c>
      <c r="C64" t="s">
        <v>11</v>
      </c>
      <c r="D64" t="s">
        <v>17</v>
      </c>
      <c r="E64" t="s">
        <v>24</v>
      </c>
      <c r="F64">
        <v>6</v>
      </c>
      <c r="G64">
        <v>1200</v>
      </c>
      <c r="H64">
        <v>7200</v>
      </c>
    </row>
    <row r="65" spans="1:8" x14ac:dyDescent="0.25">
      <c r="A65">
        <v>64</v>
      </c>
      <c r="B65" s="2">
        <v>45425</v>
      </c>
      <c r="C65" t="s">
        <v>12</v>
      </c>
      <c r="D65" t="s">
        <v>15</v>
      </c>
      <c r="E65" t="s">
        <v>19</v>
      </c>
      <c r="F65">
        <v>5</v>
      </c>
      <c r="G65">
        <v>2100</v>
      </c>
      <c r="H65">
        <v>10500</v>
      </c>
    </row>
    <row r="66" spans="1:8" x14ac:dyDescent="0.25">
      <c r="A66">
        <v>65</v>
      </c>
      <c r="B66" s="2">
        <v>45438</v>
      </c>
      <c r="C66" t="s">
        <v>13</v>
      </c>
      <c r="D66" t="s">
        <v>18</v>
      </c>
      <c r="E66" t="s">
        <v>19</v>
      </c>
      <c r="F66">
        <v>4</v>
      </c>
      <c r="G66">
        <v>300</v>
      </c>
      <c r="H66">
        <v>1200</v>
      </c>
    </row>
    <row r="67" spans="1:8" x14ac:dyDescent="0.25">
      <c r="A67">
        <v>66</v>
      </c>
      <c r="B67" s="2">
        <v>45445</v>
      </c>
      <c r="C67" t="s">
        <v>14</v>
      </c>
      <c r="D67" t="s">
        <v>16</v>
      </c>
      <c r="E67" t="s">
        <v>20</v>
      </c>
      <c r="F67">
        <v>3</v>
      </c>
      <c r="G67">
        <v>190</v>
      </c>
      <c r="H67">
        <v>570</v>
      </c>
    </row>
    <row r="68" spans="1:8" x14ac:dyDescent="0.25">
      <c r="A68">
        <v>67</v>
      </c>
      <c r="B68" s="2">
        <v>45451</v>
      </c>
      <c r="C68" t="s">
        <v>9</v>
      </c>
      <c r="D68" t="s">
        <v>16</v>
      </c>
      <c r="E68" t="s">
        <v>21</v>
      </c>
      <c r="F68">
        <v>2</v>
      </c>
      <c r="G68">
        <v>210</v>
      </c>
      <c r="H68">
        <v>420</v>
      </c>
    </row>
    <row r="69" spans="1:8" x14ac:dyDescent="0.25">
      <c r="A69">
        <v>68</v>
      </c>
      <c r="B69" s="2">
        <v>45459</v>
      </c>
      <c r="C69" t="s">
        <v>10</v>
      </c>
      <c r="D69" t="s">
        <v>15</v>
      </c>
      <c r="E69" t="s">
        <v>22</v>
      </c>
      <c r="F69">
        <v>7</v>
      </c>
      <c r="G69">
        <v>1420</v>
      </c>
      <c r="H69">
        <v>9940</v>
      </c>
    </row>
    <row r="70" spans="1:8" x14ac:dyDescent="0.25">
      <c r="A70">
        <v>69</v>
      </c>
      <c r="B70" s="2">
        <v>45465</v>
      </c>
      <c r="C70" t="s">
        <v>11</v>
      </c>
      <c r="D70" t="s">
        <v>15</v>
      </c>
      <c r="E70" t="s">
        <v>23</v>
      </c>
      <c r="F70">
        <v>6</v>
      </c>
      <c r="G70">
        <v>1200</v>
      </c>
      <c r="H70">
        <v>7200</v>
      </c>
    </row>
    <row r="71" spans="1:8" x14ac:dyDescent="0.25">
      <c r="A71">
        <v>70</v>
      </c>
      <c r="B71" s="2">
        <v>45490</v>
      </c>
      <c r="C71" t="s">
        <v>12</v>
      </c>
      <c r="D71" t="s">
        <v>17</v>
      </c>
      <c r="E71" t="s">
        <v>21</v>
      </c>
      <c r="F71">
        <v>5</v>
      </c>
      <c r="G71">
        <v>2100</v>
      </c>
      <c r="H71">
        <v>10500</v>
      </c>
    </row>
    <row r="72" spans="1:8" x14ac:dyDescent="0.25">
      <c r="A72">
        <v>71</v>
      </c>
      <c r="B72" s="2">
        <v>45494</v>
      </c>
      <c r="C72" t="s">
        <v>13</v>
      </c>
      <c r="D72" t="s">
        <v>15</v>
      </c>
      <c r="E72" t="s">
        <v>24</v>
      </c>
      <c r="F72">
        <v>4</v>
      </c>
      <c r="G72">
        <v>300</v>
      </c>
      <c r="H72">
        <v>1200</v>
      </c>
    </row>
    <row r="73" spans="1:8" x14ac:dyDescent="0.25">
      <c r="A73">
        <v>72</v>
      </c>
      <c r="B73" s="2">
        <v>45496</v>
      </c>
      <c r="C73" t="s">
        <v>14</v>
      </c>
      <c r="D73" t="s">
        <v>16</v>
      </c>
      <c r="E73" t="s">
        <v>19</v>
      </c>
      <c r="F73">
        <v>3</v>
      </c>
      <c r="G73">
        <v>190</v>
      </c>
      <c r="H73">
        <v>570</v>
      </c>
    </row>
    <row r="74" spans="1:8" x14ac:dyDescent="0.25">
      <c r="A74">
        <v>73</v>
      </c>
      <c r="B74" s="2">
        <v>45507</v>
      </c>
      <c r="C74" t="s">
        <v>9</v>
      </c>
      <c r="D74" t="s">
        <v>17</v>
      </c>
      <c r="E74" t="s">
        <v>19</v>
      </c>
      <c r="F74">
        <v>2</v>
      </c>
      <c r="G74">
        <v>190</v>
      </c>
      <c r="H74">
        <v>380</v>
      </c>
    </row>
    <row r="75" spans="1:8" x14ac:dyDescent="0.25">
      <c r="A75">
        <v>74</v>
      </c>
      <c r="B75" s="2">
        <v>45515</v>
      </c>
      <c r="C75" t="s">
        <v>10</v>
      </c>
      <c r="D75" t="s">
        <v>15</v>
      </c>
      <c r="E75" t="s">
        <v>20</v>
      </c>
      <c r="F75">
        <v>7</v>
      </c>
      <c r="G75">
        <v>210</v>
      </c>
      <c r="H75">
        <v>1470</v>
      </c>
    </row>
    <row r="76" spans="1:8" x14ac:dyDescent="0.25">
      <c r="A76">
        <v>75</v>
      </c>
      <c r="B76" s="2">
        <v>45528</v>
      </c>
      <c r="C76" t="s">
        <v>11</v>
      </c>
      <c r="D76" t="s">
        <v>16</v>
      </c>
      <c r="E76" t="s">
        <v>21</v>
      </c>
      <c r="F76">
        <v>6</v>
      </c>
      <c r="G76">
        <v>1420</v>
      </c>
      <c r="H76">
        <v>8520</v>
      </c>
    </row>
    <row r="77" spans="1:8" x14ac:dyDescent="0.25">
      <c r="A77">
        <v>76</v>
      </c>
      <c r="B77" s="2">
        <v>45540</v>
      </c>
      <c r="C77" t="s">
        <v>12</v>
      </c>
      <c r="D77" t="s">
        <v>18</v>
      </c>
      <c r="E77" t="s">
        <v>22</v>
      </c>
      <c r="F77">
        <v>5</v>
      </c>
      <c r="G77">
        <v>1200</v>
      </c>
      <c r="H77">
        <v>6000</v>
      </c>
    </row>
    <row r="78" spans="1:8" x14ac:dyDescent="0.25">
      <c r="A78">
        <v>77</v>
      </c>
      <c r="B78" s="2">
        <v>45552</v>
      </c>
      <c r="C78" t="s">
        <v>13</v>
      </c>
      <c r="D78" t="s">
        <v>17</v>
      </c>
      <c r="E78" t="s">
        <v>23</v>
      </c>
      <c r="F78">
        <v>4</v>
      </c>
      <c r="G78">
        <v>2100</v>
      </c>
      <c r="H78">
        <v>8400</v>
      </c>
    </row>
    <row r="79" spans="1:8" x14ac:dyDescent="0.25">
      <c r="A79">
        <v>78</v>
      </c>
      <c r="B79" s="2">
        <v>45556</v>
      </c>
      <c r="C79" t="s">
        <v>14</v>
      </c>
      <c r="D79" t="s">
        <v>15</v>
      </c>
      <c r="E79" t="s">
        <v>21</v>
      </c>
      <c r="F79">
        <v>3</v>
      </c>
      <c r="G79">
        <v>300</v>
      </c>
      <c r="H79">
        <v>900</v>
      </c>
    </row>
    <row r="80" spans="1:8" x14ac:dyDescent="0.25">
      <c r="A80">
        <v>79</v>
      </c>
      <c r="B80" s="2">
        <v>45557</v>
      </c>
      <c r="C80" t="s">
        <v>9</v>
      </c>
      <c r="D80" t="s">
        <v>18</v>
      </c>
      <c r="E80" t="s">
        <v>24</v>
      </c>
      <c r="F80">
        <v>2</v>
      </c>
      <c r="G80">
        <v>190</v>
      </c>
      <c r="H80">
        <v>380</v>
      </c>
    </row>
    <row r="81" spans="1:8" x14ac:dyDescent="0.25">
      <c r="A81">
        <v>80</v>
      </c>
      <c r="B81" s="2">
        <v>45558</v>
      </c>
      <c r="C81" t="s">
        <v>10</v>
      </c>
      <c r="D81" t="s">
        <v>16</v>
      </c>
      <c r="E81" t="s">
        <v>19</v>
      </c>
      <c r="F81">
        <v>7</v>
      </c>
      <c r="G81">
        <v>210</v>
      </c>
      <c r="H81">
        <v>1470</v>
      </c>
    </row>
    <row r="82" spans="1:8" x14ac:dyDescent="0.25">
      <c r="A82">
        <v>81</v>
      </c>
      <c r="B82" s="2">
        <v>45569</v>
      </c>
      <c r="C82" t="s">
        <v>11</v>
      </c>
      <c r="D82" t="s">
        <v>16</v>
      </c>
      <c r="E82" t="s">
        <v>19</v>
      </c>
      <c r="F82">
        <v>6</v>
      </c>
      <c r="G82">
        <v>1420</v>
      </c>
      <c r="H82">
        <v>8520</v>
      </c>
    </row>
    <row r="83" spans="1:8" x14ac:dyDescent="0.25">
      <c r="A83">
        <v>82</v>
      </c>
      <c r="B83" s="2">
        <v>45589</v>
      </c>
      <c r="C83" t="s">
        <v>12</v>
      </c>
      <c r="D83" t="s">
        <v>15</v>
      </c>
      <c r="E83" t="s">
        <v>20</v>
      </c>
      <c r="F83">
        <v>5</v>
      </c>
      <c r="G83">
        <v>1200</v>
      </c>
      <c r="H83">
        <v>6000</v>
      </c>
    </row>
    <row r="84" spans="1:8" x14ac:dyDescent="0.25">
      <c r="A84">
        <v>83</v>
      </c>
      <c r="B84" s="2">
        <v>45590</v>
      </c>
      <c r="C84" t="s">
        <v>13</v>
      </c>
      <c r="D84" t="s">
        <v>15</v>
      </c>
      <c r="E84" t="s">
        <v>21</v>
      </c>
      <c r="F84">
        <v>4</v>
      </c>
      <c r="G84">
        <v>2100</v>
      </c>
      <c r="H84">
        <v>8400</v>
      </c>
    </row>
    <row r="85" spans="1:8" x14ac:dyDescent="0.25">
      <c r="A85">
        <v>84</v>
      </c>
      <c r="B85" s="2">
        <v>45591</v>
      </c>
      <c r="C85" t="s">
        <v>14</v>
      </c>
      <c r="D85" t="s">
        <v>17</v>
      </c>
      <c r="E85" t="s">
        <v>22</v>
      </c>
      <c r="F85">
        <v>3</v>
      </c>
      <c r="G85">
        <v>300</v>
      </c>
      <c r="H85">
        <v>900</v>
      </c>
    </row>
    <row r="86" spans="1:8" x14ac:dyDescent="0.25">
      <c r="A86">
        <v>85</v>
      </c>
      <c r="B86" s="2">
        <v>45592</v>
      </c>
      <c r="C86" t="s">
        <v>9</v>
      </c>
      <c r="D86" t="s">
        <v>15</v>
      </c>
      <c r="E86" t="s">
        <v>23</v>
      </c>
      <c r="F86">
        <v>2</v>
      </c>
      <c r="G86">
        <v>190</v>
      </c>
      <c r="H86">
        <v>380</v>
      </c>
    </row>
    <row r="87" spans="1:8" x14ac:dyDescent="0.25">
      <c r="A87">
        <v>86</v>
      </c>
      <c r="B87" s="2">
        <v>45601</v>
      </c>
      <c r="C87" t="s">
        <v>10</v>
      </c>
      <c r="D87" t="s">
        <v>16</v>
      </c>
      <c r="E87" t="s">
        <v>21</v>
      </c>
      <c r="F87">
        <v>7</v>
      </c>
      <c r="G87">
        <v>210</v>
      </c>
      <c r="H87">
        <v>1470</v>
      </c>
    </row>
    <row r="88" spans="1:8" x14ac:dyDescent="0.25">
      <c r="A88">
        <v>87</v>
      </c>
      <c r="B88" s="2">
        <v>45612</v>
      </c>
      <c r="C88" t="s">
        <v>11</v>
      </c>
      <c r="D88" t="s">
        <v>17</v>
      </c>
      <c r="E88" t="s">
        <v>24</v>
      </c>
      <c r="F88">
        <v>6</v>
      </c>
      <c r="G88">
        <v>1420</v>
      </c>
      <c r="H88">
        <v>8520</v>
      </c>
    </row>
    <row r="89" spans="1:8" x14ac:dyDescent="0.25">
      <c r="A89">
        <v>88</v>
      </c>
      <c r="B89" s="2">
        <v>45613</v>
      </c>
      <c r="C89" t="s">
        <v>12</v>
      </c>
      <c r="D89" t="s">
        <v>15</v>
      </c>
      <c r="E89" t="s">
        <v>19</v>
      </c>
      <c r="F89">
        <v>5</v>
      </c>
      <c r="G89">
        <v>1200</v>
      </c>
      <c r="H89">
        <v>6000</v>
      </c>
    </row>
    <row r="90" spans="1:8" x14ac:dyDescent="0.25">
      <c r="A90">
        <v>89</v>
      </c>
      <c r="B90" s="2">
        <v>45618</v>
      </c>
      <c r="C90" t="s">
        <v>13</v>
      </c>
      <c r="D90" t="s">
        <v>16</v>
      </c>
      <c r="E90" t="s">
        <v>19</v>
      </c>
      <c r="F90">
        <v>4</v>
      </c>
      <c r="G90">
        <v>2100</v>
      </c>
      <c r="H90">
        <v>8400</v>
      </c>
    </row>
    <row r="91" spans="1:8" x14ac:dyDescent="0.25">
      <c r="A91">
        <v>90</v>
      </c>
      <c r="B91" s="2">
        <v>45637</v>
      </c>
      <c r="C91" t="s">
        <v>14</v>
      </c>
      <c r="D91" t="s">
        <v>18</v>
      </c>
      <c r="E91" t="s">
        <v>20</v>
      </c>
      <c r="F91">
        <v>3</v>
      </c>
      <c r="G91">
        <v>300</v>
      </c>
      <c r="H91">
        <v>900</v>
      </c>
    </row>
    <row r="92" spans="1:8" x14ac:dyDescent="0.25">
      <c r="A92">
        <v>91</v>
      </c>
      <c r="B92" s="2">
        <v>45638</v>
      </c>
      <c r="C92" t="s">
        <v>9</v>
      </c>
      <c r="D92" t="s">
        <v>17</v>
      </c>
      <c r="E92" t="s">
        <v>21</v>
      </c>
      <c r="F92">
        <v>2</v>
      </c>
      <c r="G92">
        <v>190</v>
      </c>
      <c r="H92">
        <v>380</v>
      </c>
    </row>
    <row r="93" spans="1:8" x14ac:dyDescent="0.25">
      <c r="A93">
        <v>92</v>
      </c>
      <c r="B93" s="2">
        <v>45639</v>
      </c>
      <c r="C93" t="s">
        <v>10</v>
      </c>
      <c r="D93" t="s">
        <v>15</v>
      </c>
      <c r="E93" t="s">
        <v>22</v>
      </c>
      <c r="F93">
        <v>7</v>
      </c>
      <c r="G93">
        <v>210</v>
      </c>
      <c r="H93">
        <v>1470</v>
      </c>
    </row>
    <row r="94" spans="1:8" x14ac:dyDescent="0.25">
      <c r="A94">
        <v>93</v>
      </c>
      <c r="B94" s="2">
        <v>45647</v>
      </c>
      <c r="C94" t="s">
        <v>11</v>
      </c>
      <c r="D94" t="s">
        <v>18</v>
      </c>
      <c r="E94" t="s">
        <v>23</v>
      </c>
      <c r="F94">
        <v>6</v>
      </c>
      <c r="G94">
        <v>1420</v>
      </c>
      <c r="H94">
        <v>8520</v>
      </c>
    </row>
    <row r="95" spans="1:8" x14ac:dyDescent="0.25">
      <c r="A95">
        <v>94</v>
      </c>
      <c r="B95" s="2">
        <v>45648</v>
      </c>
      <c r="C95" t="s">
        <v>12</v>
      </c>
      <c r="D95" t="s">
        <v>16</v>
      </c>
      <c r="E95" t="s">
        <v>21</v>
      </c>
      <c r="F95">
        <v>5</v>
      </c>
      <c r="G95">
        <v>1200</v>
      </c>
      <c r="H95">
        <v>6000</v>
      </c>
    </row>
    <row r="96" spans="1:8" x14ac:dyDescent="0.25">
      <c r="A96">
        <v>95</v>
      </c>
      <c r="B96" s="2">
        <v>45649</v>
      </c>
      <c r="C96" t="s">
        <v>13</v>
      </c>
      <c r="D96" t="s">
        <v>16</v>
      </c>
      <c r="E96" t="s">
        <v>24</v>
      </c>
      <c r="F96">
        <v>4</v>
      </c>
      <c r="G96">
        <v>2100</v>
      </c>
      <c r="H96">
        <v>8400</v>
      </c>
    </row>
    <row r="97" spans="1:8" x14ac:dyDescent="0.25">
      <c r="A97">
        <v>96</v>
      </c>
      <c r="B97" s="2">
        <v>45650</v>
      </c>
      <c r="C97" t="s">
        <v>14</v>
      </c>
      <c r="D97" t="s">
        <v>15</v>
      </c>
      <c r="E97" t="s">
        <v>19</v>
      </c>
      <c r="F97">
        <v>3</v>
      </c>
      <c r="G97">
        <v>300</v>
      </c>
      <c r="H97">
        <v>900</v>
      </c>
    </row>
    <row r="98" spans="1:8" x14ac:dyDescent="0.25">
      <c r="A98">
        <v>97</v>
      </c>
      <c r="B98" s="2">
        <v>45651</v>
      </c>
      <c r="C98" t="s">
        <v>9</v>
      </c>
      <c r="D98" t="s">
        <v>15</v>
      </c>
      <c r="E98" t="s">
        <v>19</v>
      </c>
      <c r="F98">
        <v>2</v>
      </c>
      <c r="G98">
        <v>190</v>
      </c>
      <c r="H98">
        <v>380</v>
      </c>
    </row>
    <row r="99" spans="1:8" x14ac:dyDescent="0.25">
      <c r="A99">
        <v>98</v>
      </c>
      <c r="B99" s="2">
        <v>45652</v>
      </c>
      <c r="C99" t="s">
        <v>10</v>
      </c>
      <c r="D99" t="s">
        <v>17</v>
      </c>
      <c r="E99" t="s">
        <v>20</v>
      </c>
      <c r="F99">
        <v>5</v>
      </c>
      <c r="G99">
        <v>210</v>
      </c>
      <c r="H99">
        <v>1050</v>
      </c>
    </row>
    <row r="100" spans="1:8" x14ac:dyDescent="0.25">
      <c r="A100">
        <v>99</v>
      </c>
      <c r="B100" s="2">
        <v>45654</v>
      </c>
      <c r="C100" t="s">
        <v>11</v>
      </c>
      <c r="D100" t="s">
        <v>15</v>
      </c>
      <c r="E100" t="s">
        <v>21</v>
      </c>
      <c r="F100">
        <v>7</v>
      </c>
      <c r="G100">
        <v>1420</v>
      </c>
      <c r="H100">
        <v>9940</v>
      </c>
    </row>
    <row r="101" spans="1:8" x14ac:dyDescent="0.25">
      <c r="A101">
        <v>100</v>
      </c>
      <c r="B101" s="2">
        <v>45656</v>
      </c>
      <c r="C101" t="s">
        <v>12</v>
      </c>
      <c r="D101" t="s">
        <v>16</v>
      </c>
      <c r="E101" t="s">
        <v>22</v>
      </c>
      <c r="F101">
        <v>6</v>
      </c>
      <c r="G101">
        <v>1200</v>
      </c>
      <c r="H101">
        <v>7200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83"/>
  <sheetViews>
    <sheetView topLeftCell="E25" workbookViewId="0">
      <selection activeCell="T47" sqref="T47"/>
    </sheetView>
  </sheetViews>
  <sheetFormatPr defaultRowHeight="15" x14ac:dyDescent="0.25"/>
  <cols>
    <col min="1" max="1" width="13.140625" customWidth="1"/>
    <col min="2" max="2" width="14.85546875" customWidth="1"/>
    <col min="13" max="13" width="14.85546875" customWidth="1"/>
    <col min="14" max="14" width="10.7109375" bestFit="1" customWidth="1"/>
  </cols>
  <sheetData>
    <row r="2" spans="1:2" x14ac:dyDescent="0.25">
      <c r="A2" s="3" t="s">
        <v>25</v>
      </c>
      <c r="B2" t="s">
        <v>27</v>
      </c>
    </row>
    <row r="3" spans="1:2" x14ac:dyDescent="0.25">
      <c r="A3" s="5" t="s">
        <v>28</v>
      </c>
      <c r="B3" s="4">
        <v>102360</v>
      </c>
    </row>
    <row r="4" spans="1:2" x14ac:dyDescent="0.25">
      <c r="A4" s="5" t="s">
        <v>29</v>
      </c>
      <c r="B4" s="4">
        <v>43840</v>
      </c>
    </row>
    <row r="5" spans="1:2" x14ac:dyDescent="0.25">
      <c r="A5" s="5" t="s">
        <v>30</v>
      </c>
      <c r="B5" s="4">
        <v>83890</v>
      </c>
    </row>
    <row r="6" spans="1:2" x14ac:dyDescent="0.25">
      <c r="A6" s="5" t="s">
        <v>31</v>
      </c>
      <c r="B6" s="4">
        <v>29410</v>
      </c>
    </row>
    <row r="7" spans="1:2" x14ac:dyDescent="0.25">
      <c r="A7" s="5" t="s">
        <v>32</v>
      </c>
      <c r="B7" s="4">
        <v>29260</v>
      </c>
    </row>
    <row r="8" spans="1:2" x14ac:dyDescent="0.25">
      <c r="A8" s="5" t="s">
        <v>33</v>
      </c>
      <c r="B8" s="4">
        <v>18130</v>
      </c>
    </row>
    <row r="9" spans="1:2" x14ac:dyDescent="0.25">
      <c r="A9" s="5" t="s">
        <v>34</v>
      </c>
      <c r="B9" s="4">
        <v>12270</v>
      </c>
    </row>
    <row r="10" spans="1:2" x14ac:dyDescent="0.25">
      <c r="A10" s="5" t="s">
        <v>35</v>
      </c>
      <c r="B10" s="4">
        <v>10370</v>
      </c>
    </row>
    <row r="11" spans="1:2" x14ac:dyDescent="0.25">
      <c r="A11" s="5" t="s">
        <v>36</v>
      </c>
      <c r="B11" s="4">
        <v>17150</v>
      </c>
    </row>
    <row r="12" spans="1:2" x14ac:dyDescent="0.25">
      <c r="A12" s="5" t="s">
        <v>37</v>
      </c>
      <c r="B12" s="4">
        <v>24200</v>
      </c>
    </row>
    <row r="13" spans="1:2" x14ac:dyDescent="0.25">
      <c r="A13" s="5" t="s">
        <v>38</v>
      </c>
      <c r="B13" s="4">
        <v>24390</v>
      </c>
    </row>
    <row r="14" spans="1:2" x14ac:dyDescent="0.25">
      <c r="A14" s="5" t="s">
        <v>39</v>
      </c>
      <c r="B14" s="4">
        <v>45140</v>
      </c>
    </row>
    <row r="15" spans="1:2" x14ac:dyDescent="0.25">
      <c r="A15" s="5" t="s">
        <v>26</v>
      </c>
      <c r="B15" s="4">
        <v>440410</v>
      </c>
    </row>
    <row r="19" spans="1:15" x14ac:dyDescent="0.25">
      <c r="A19" s="3" t="s">
        <v>25</v>
      </c>
      <c r="B19" t="s">
        <v>27</v>
      </c>
    </row>
    <row r="20" spans="1:15" x14ac:dyDescent="0.25">
      <c r="A20" s="5" t="s">
        <v>15</v>
      </c>
      <c r="B20" s="4">
        <v>161320</v>
      </c>
    </row>
    <row r="21" spans="1:15" x14ac:dyDescent="0.25">
      <c r="A21" s="5" t="s">
        <v>18</v>
      </c>
      <c r="B21" s="4">
        <v>54540</v>
      </c>
    </row>
    <row r="22" spans="1:15" x14ac:dyDescent="0.25">
      <c r="A22" s="5" t="s">
        <v>17</v>
      </c>
      <c r="B22" s="4">
        <v>85430</v>
      </c>
    </row>
    <row r="23" spans="1:15" x14ac:dyDescent="0.25">
      <c r="A23" s="5" t="s">
        <v>16</v>
      </c>
      <c r="B23" s="4">
        <v>139120</v>
      </c>
      <c r="M23" t="s">
        <v>41</v>
      </c>
    </row>
    <row r="24" spans="1:15" x14ac:dyDescent="0.25">
      <c r="A24" s="5" t="s">
        <v>26</v>
      </c>
      <c r="B24" s="4">
        <v>440410</v>
      </c>
      <c r="M24" s="4">
        <v>100</v>
      </c>
      <c r="N24">
        <f>GETPIVOTDATA("Amount",$M$23)</f>
        <v>100</v>
      </c>
    </row>
    <row r="25" spans="1:15" x14ac:dyDescent="0.25">
      <c r="M25" t="s">
        <v>27</v>
      </c>
    </row>
    <row r="26" spans="1:15" x14ac:dyDescent="0.25">
      <c r="M26" s="6">
        <v>440410</v>
      </c>
      <c r="O26">
        <f>GETPIVOTDATA("Amount",$M$25)</f>
        <v>440410</v>
      </c>
    </row>
    <row r="27" spans="1:15" x14ac:dyDescent="0.25">
      <c r="A27" s="3" t="s">
        <v>25</v>
      </c>
      <c r="B27" t="s">
        <v>27</v>
      </c>
    </row>
    <row r="28" spans="1:15" x14ac:dyDescent="0.25">
      <c r="A28" s="5" t="s">
        <v>24</v>
      </c>
      <c r="B28" s="4">
        <v>43940</v>
      </c>
      <c r="M28" t="s">
        <v>27</v>
      </c>
    </row>
    <row r="29" spans="1:15" x14ac:dyDescent="0.25">
      <c r="A29" s="5" t="s">
        <v>22</v>
      </c>
      <c r="B29" s="4">
        <v>66130</v>
      </c>
      <c r="M29" s="4">
        <v>440410</v>
      </c>
      <c r="N29" s="6">
        <f>GETPIVOTDATA("Amount",$M$28)</f>
        <v>440410</v>
      </c>
    </row>
    <row r="30" spans="1:15" x14ac:dyDescent="0.25">
      <c r="A30" s="5" t="s">
        <v>21</v>
      </c>
      <c r="B30" s="4">
        <v>113320</v>
      </c>
    </row>
    <row r="31" spans="1:15" x14ac:dyDescent="0.25">
      <c r="A31" s="5" t="s">
        <v>19</v>
      </c>
      <c r="B31" s="4">
        <v>115410</v>
      </c>
    </row>
    <row r="32" spans="1:15" x14ac:dyDescent="0.25">
      <c r="A32" s="5" t="s">
        <v>23</v>
      </c>
      <c r="B32" s="4">
        <v>42860</v>
      </c>
    </row>
    <row r="33" spans="1:2" x14ac:dyDescent="0.25">
      <c r="A33" s="5" t="s">
        <v>20</v>
      </c>
      <c r="B33" s="4">
        <v>58750</v>
      </c>
    </row>
    <row r="34" spans="1:2" x14ac:dyDescent="0.25">
      <c r="A34" s="5" t="s">
        <v>26</v>
      </c>
      <c r="B34" s="4">
        <v>440410</v>
      </c>
    </row>
    <row r="36" spans="1:2" x14ac:dyDescent="0.25">
      <c r="A36" s="3" t="s">
        <v>25</v>
      </c>
      <c r="B36" t="s">
        <v>27</v>
      </c>
    </row>
    <row r="37" spans="1:2" x14ac:dyDescent="0.25">
      <c r="A37" s="5" t="s">
        <v>22</v>
      </c>
      <c r="B37" s="4">
        <v>66130</v>
      </c>
    </row>
    <row r="38" spans="1:2" x14ac:dyDescent="0.25">
      <c r="A38" s="5" t="s">
        <v>21</v>
      </c>
      <c r="B38" s="4">
        <v>113320</v>
      </c>
    </row>
    <row r="39" spans="1:2" x14ac:dyDescent="0.25">
      <c r="A39" s="5" t="s">
        <v>19</v>
      </c>
      <c r="B39" s="4">
        <v>115410</v>
      </c>
    </row>
    <row r="40" spans="1:2" x14ac:dyDescent="0.25">
      <c r="A40" s="5" t="s">
        <v>26</v>
      </c>
      <c r="B40" s="4">
        <v>294860</v>
      </c>
    </row>
    <row r="44" spans="1:2" x14ac:dyDescent="0.25">
      <c r="A44" s="5"/>
      <c r="B44" s="4"/>
    </row>
    <row r="45" spans="1:2" x14ac:dyDescent="0.25">
      <c r="A45" s="3" t="s">
        <v>25</v>
      </c>
      <c r="B45" t="s">
        <v>27</v>
      </c>
    </row>
    <row r="46" spans="1:2" x14ac:dyDescent="0.25">
      <c r="A46" s="5" t="s">
        <v>24</v>
      </c>
      <c r="B46" s="4">
        <v>43940</v>
      </c>
    </row>
    <row r="47" spans="1:2" x14ac:dyDescent="0.25">
      <c r="A47" s="5" t="s">
        <v>23</v>
      </c>
      <c r="B47" s="4">
        <v>42860</v>
      </c>
    </row>
    <row r="48" spans="1:2" x14ac:dyDescent="0.25">
      <c r="A48" s="5" t="s">
        <v>20</v>
      </c>
      <c r="B48" s="4">
        <v>58750</v>
      </c>
    </row>
    <row r="49" spans="1:2" x14ac:dyDescent="0.25">
      <c r="A49" s="5" t="s">
        <v>26</v>
      </c>
      <c r="B49" s="4">
        <v>145550</v>
      </c>
    </row>
    <row r="50" spans="1:2" x14ac:dyDescent="0.25">
      <c r="A50" s="5"/>
      <c r="B50" s="4"/>
    </row>
    <row r="53" spans="1:2" x14ac:dyDescent="0.25">
      <c r="A53" s="3" t="s">
        <v>25</v>
      </c>
      <c r="B53" t="s">
        <v>27</v>
      </c>
    </row>
    <row r="54" spans="1:2" x14ac:dyDescent="0.25">
      <c r="A54" s="5" t="s">
        <v>24</v>
      </c>
      <c r="B54" s="4">
        <v>43940</v>
      </c>
    </row>
    <row r="55" spans="1:2" x14ac:dyDescent="0.25">
      <c r="A55" s="5" t="s">
        <v>22</v>
      </c>
      <c r="B55" s="4">
        <v>66130</v>
      </c>
    </row>
    <row r="56" spans="1:2" x14ac:dyDescent="0.25">
      <c r="A56" s="5" t="s">
        <v>21</v>
      </c>
      <c r="B56" s="4">
        <v>113320</v>
      </c>
    </row>
    <row r="57" spans="1:2" x14ac:dyDescent="0.25">
      <c r="A57" s="5" t="s">
        <v>19</v>
      </c>
      <c r="B57" s="4">
        <v>115410</v>
      </c>
    </row>
    <row r="58" spans="1:2" x14ac:dyDescent="0.25">
      <c r="A58" s="5" t="s">
        <v>23</v>
      </c>
      <c r="B58" s="4">
        <v>42860</v>
      </c>
    </row>
    <row r="59" spans="1:2" x14ac:dyDescent="0.25">
      <c r="A59" s="5" t="s">
        <v>20</v>
      </c>
      <c r="B59" s="4">
        <v>58750</v>
      </c>
    </row>
    <row r="60" spans="1:2" x14ac:dyDescent="0.25">
      <c r="A60" s="5" t="s">
        <v>26</v>
      </c>
      <c r="B60" s="4">
        <v>440410</v>
      </c>
    </row>
    <row r="61" spans="1:2" x14ac:dyDescent="0.25">
      <c r="A61" s="5"/>
      <c r="B61" s="4"/>
    </row>
    <row r="62" spans="1:2" x14ac:dyDescent="0.25">
      <c r="A62" s="3" t="s">
        <v>25</v>
      </c>
      <c r="B62" t="s">
        <v>40</v>
      </c>
    </row>
    <row r="63" spans="1:2" x14ac:dyDescent="0.25">
      <c r="A63" s="5" t="s">
        <v>12</v>
      </c>
      <c r="B63" s="4">
        <v>78</v>
      </c>
    </row>
    <row r="64" spans="1:2" x14ac:dyDescent="0.25">
      <c r="A64" s="5" t="s">
        <v>11</v>
      </c>
      <c r="B64" s="4">
        <v>90</v>
      </c>
    </row>
    <row r="65" spans="1:2" x14ac:dyDescent="0.25">
      <c r="A65" s="5" t="s">
        <v>10</v>
      </c>
      <c r="B65" s="4">
        <v>105</v>
      </c>
    </row>
    <row r="66" spans="1:2" x14ac:dyDescent="0.25">
      <c r="A66" s="5" t="s">
        <v>26</v>
      </c>
      <c r="B66" s="4">
        <v>273</v>
      </c>
    </row>
    <row r="69" spans="1:2" x14ac:dyDescent="0.25">
      <c r="A69" s="3" t="s">
        <v>25</v>
      </c>
      <c r="B69" t="s">
        <v>40</v>
      </c>
    </row>
    <row r="70" spans="1:2" x14ac:dyDescent="0.25">
      <c r="A70" s="5" t="s">
        <v>9</v>
      </c>
      <c r="B70" s="4">
        <v>66</v>
      </c>
    </row>
    <row r="71" spans="1:2" x14ac:dyDescent="0.25">
      <c r="A71" s="5" t="s">
        <v>13</v>
      </c>
      <c r="B71" s="4">
        <v>72</v>
      </c>
    </row>
    <row r="72" spans="1:2" x14ac:dyDescent="0.25">
      <c r="A72" s="5" t="s">
        <v>14</v>
      </c>
      <c r="B72" s="4">
        <v>56</v>
      </c>
    </row>
    <row r="73" spans="1:2" x14ac:dyDescent="0.25">
      <c r="A73" s="5" t="s">
        <v>26</v>
      </c>
      <c r="B73" s="4">
        <v>194</v>
      </c>
    </row>
    <row r="74" spans="1:2" x14ac:dyDescent="0.25">
      <c r="A74" s="5"/>
      <c r="B74" s="4"/>
    </row>
    <row r="75" spans="1:2" x14ac:dyDescent="0.25">
      <c r="A75" s="5"/>
      <c r="B75" s="4"/>
    </row>
    <row r="76" spans="1:2" x14ac:dyDescent="0.25">
      <c r="A76" s="3" t="s">
        <v>25</v>
      </c>
      <c r="B76" t="s">
        <v>27</v>
      </c>
    </row>
    <row r="77" spans="1:2" x14ac:dyDescent="0.25">
      <c r="A77" s="5" t="s">
        <v>9</v>
      </c>
      <c r="B77" s="4">
        <v>13660</v>
      </c>
    </row>
    <row r="78" spans="1:2" x14ac:dyDescent="0.25">
      <c r="A78" s="5" t="s">
        <v>12</v>
      </c>
      <c r="B78" s="4">
        <v>140400</v>
      </c>
    </row>
    <row r="79" spans="1:2" x14ac:dyDescent="0.25">
      <c r="A79" s="5" t="s">
        <v>13</v>
      </c>
      <c r="B79" s="4">
        <v>50400</v>
      </c>
    </row>
    <row r="80" spans="1:2" x14ac:dyDescent="0.25">
      <c r="A80" s="5" t="s">
        <v>11</v>
      </c>
      <c r="B80" s="4">
        <v>114820</v>
      </c>
    </row>
    <row r="81" spans="1:2" x14ac:dyDescent="0.25">
      <c r="A81" s="5" t="s">
        <v>10</v>
      </c>
      <c r="B81" s="4">
        <v>109170</v>
      </c>
    </row>
    <row r="82" spans="1:2" x14ac:dyDescent="0.25">
      <c r="A82" s="5" t="s">
        <v>14</v>
      </c>
      <c r="B82" s="4">
        <v>11960</v>
      </c>
    </row>
    <row r="83" spans="1:2" x14ac:dyDescent="0.25">
      <c r="A83" s="5" t="s">
        <v>26</v>
      </c>
      <c r="B83" s="4">
        <v>440410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Salesman</vt:lpstr>
      <vt:lpstr>products</vt:lpstr>
      <vt:lpstr>Dashboard</vt:lpstr>
      <vt:lpstr>Data</vt:lpstr>
      <vt:lpstr>Sheet1</vt:lpstr>
      <vt:lpstr>Pivot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Hardic Singh</dc:creator>
  <cp:lastModifiedBy>Hardic Singh</cp:lastModifiedBy>
  <dcterms:created xsi:type="dcterms:W3CDTF">2025-11-16T12:27:38Z</dcterms:created>
  <dcterms:modified xsi:type="dcterms:W3CDTF">2025-11-17T13:49:15Z</dcterms:modified>
</cp:coreProperties>
</file>